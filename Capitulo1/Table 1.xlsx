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6465"/>
  </bookViews>
  <sheets>
    <sheet name="Table S1" sheetId="1" r:id="rId1"/>
    <sheet name="Table S2" sheetId="2" r:id="rId2"/>
    <sheet name="Table S3" sheetId="3" r:id="rId3"/>
    <sheet name="Table S4" sheetId="4" r:id="rId4"/>
    <sheet name="Table S5" sheetId="5" r:id="rId5"/>
    <sheet name="Table S6" sheetId="6" r:id="rId6"/>
    <sheet name="Table S7" sheetId="7" r:id="rId7"/>
  </sheets>
  <calcPr calcId="145621"/>
  <extLst>
    <ext uri="GoogleSheetsCustomDataVersion1">
      <go:sheetsCustomData xmlns:go="http://customooxmlschemas.google.com/" r:id="rId11" roundtripDataSignature="AMtx7mgDWZ2XR7PdkZb2BwUJD8H74TQqHA=="/>
    </ext>
  </extLst>
</workbook>
</file>

<file path=xl/calcChain.xml><?xml version="1.0" encoding="utf-8"?>
<calcChain xmlns="http://schemas.openxmlformats.org/spreadsheetml/2006/main">
  <c r="P37" i="7" l="1"/>
  <c r="P36" i="7"/>
  <c r="P35" i="7"/>
  <c r="P34" i="7"/>
  <c r="P33" i="7"/>
  <c r="P32" i="7"/>
  <c r="P31" i="7"/>
  <c r="P30" i="7"/>
  <c r="P29" i="7"/>
  <c r="P28" i="7"/>
  <c r="P27" i="7"/>
  <c r="P26" i="7"/>
  <c r="P25" i="7"/>
  <c r="P24" i="7"/>
  <c r="P23" i="7"/>
  <c r="P22" i="7"/>
  <c r="P21" i="7"/>
  <c r="P20" i="7"/>
  <c r="P19" i="7"/>
  <c r="P18" i="7"/>
  <c r="P17" i="7"/>
  <c r="P16" i="7"/>
  <c r="P15" i="7"/>
  <c r="P14" i="7"/>
  <c r="P13" i="7"/>
  <c r="P12" i="7"/>
  <c r="P11" i="7"/>
  <c r="P10" i="7"/>
  <c r="P9" i="7"/>
  <c r="P8" i="7"/>
  <c r="P7" i="7"/>
  <c r="P6" i="7"/>
  <c r="P5" i="7"/>
  <c r="P4" i="7"/>
  <c r="P3" i="7"/>
</calcChain>
</file>

<file path=xl/sharedStrings.xml><?xml version="1.0" encoding="utf-8"?>
<sst xmlns="http://schemas.openxmlformats.org/spreadsheetml/2006/main" count="1176" uniqueCount="836">
  <si>
    <t>Table S1. Metrics of metaproteome analysis of H1 using protocols A-F.</t>
  </si>
  <si>
    <t>Protocol</t>
  </si>
  <si>
    <t>Replicate</t>
  </si>
  <si>
    <t>PSM identified/mean</t>
  </si>
  <si>
    <t>PSM Identified [%]/mean</t>
  </si>
  <si>
    <t>Peptide sequences/mean</t>
  </si>
  <si>
    <t>Protein groups/mean</t>
  </si>
  <si>
    <t>PA</t>
  </si>
  <si>
    <t>PB</t>
  </si>
  <si>
    <t>PC</t>
  </si>
  <si>
    <t>PD</t>
  </si>
  <si>
    <t>PE</t>
  </si>
  <si>
    <t>PF</t>
  </si>
  <si>
    <t>Total</t>
  </si>
  <si>
    <t>-</t>
  </si>
  <si>
    <t>COG category</t>
  </si>
  <si>
    <t>PA_1</t>
  </si>
  <si>
    <t>PA_2</t>
  </si>
  <si>
    <t>PA_3</t>
  </si>
  <si>
    <t>PB_1</t>
  </si>
  <si>
    <t>PB_2</t>
  </si>
  <si>
    <t>PB_3</t>
  </si>
  <si>
    <t>PC_1</t>
  </si>
  <si>
    <t>PC_2</t>
  </si>
  <si>
    <t>PC_3</t>
  </si>
  <si>
    <t>PD_1</t>
  </si>
  <si>
    <t>PD_2</t>
  </si>
  <si>
    <t>PD_3</t>
  </si>
  <si>
    <t>PE_1</t>
  </si>
  <si>
    <t>PE_2</t>
  </si>
  <si>
    <t>PE_3</t>
  </si>
  <si>
    <t>PF_1</t>
  </si>
  <si>
    <t>PF_2</t>
  </si>
  <si>
    <t>PF_3</t>
  </si>
  <si>
    <t>Amino acid transport and metabolism</t>
  </si>
  <si>
    <t>Carbohydrate transport and metabolism</t>
  </si>
  <si>
    <t>Cell cycle control, cell division, chromosome partitioning</t>
  </si>
  <si>
    <t>Cell motility</t>
  </si>
  <si>
    <t>Cell wall/membrane/envelope biogenesis</t>
  </si>
  <si>
    <t>Chromatin structure and dynamics</t>
  </si>
  <si>
    <t>Coenzyme transport and metabolism</t>
  </si>
  <si>
    <t>Cytoskeleton</t>
  </si>
  <si>
    <t>Defense mechanisms</t>
  </si>
  <si>
    <t>Energy production and conversion</t>
  </si>
  <si>
    <t>Extracellular structures</t>
  </si>
  <si>
    <t>Function unknown</t>
  </si>
  <si>
    <t>General function prediction only</t>
  </si>
  <si>
    <t>Inorganic ion transport and metabolism</t>
  </si>
  <si>
    <t>Intracellular trafficking, secretion, and vesicular transport</t>
  </si>
  <si>
    <t>Lipid transport and metabolism</t>
  </si>
  <si>
    <t>Mobilome: prophages, transposons</t>
  </si>
  <si>
    <t>Nucleotide transport and metabolism</t>
  </si>
  <si>
    <t>Posttranslational modification, protein turnover, chaperones</t>
  </si>
  <si>
    <t>Replication, recombination and repair</t>
  </si>
  <si>
    <t>RNA processing and modification</t>
  </si>
  <si>
    <t>Secondary metabolites biosynthesis, transport and catabolism</t>
  </si>
  <si>
    <t>Signal transduction mechanisms</t>
  </si>
  <si>
    <t>Transcription</t>
  </si>
  <si>
    <t>Translation, ribosomal structure and biogenesis</t>
  </si>
  <si>
    <t>Not assigned (blank)</t>
  </si>
  <si>
    <t>Table S3: Taxonomy of human gut microbiota of 6 healthy adult individuals.</t>
  </si>
  <si>
    <t>Level</t>
  </si>
  <si>
    <t>Name</t>
  </si>
  <si>
    <t>Unique peptide number</t>
  </si>
  <si>
    <t>PSMs</t>
  </si>
  <si>
    <t>Taxonomy</t>
  </si>
  <si>
    <t>Phylum</t>
  </si>
  <si>
    <t>Firmicutes</t>
  </si>
  <si>
    <t>Bacteria; Firmicutes</t>
  </si>
  <si>
    <t>Bacteroidetes</t>
  </si>
  <si>
    <t>Bacteria; Bacteroidetes</t>
  </si>
  <si>
    <t>Actinobacteria</t>
  </si>
  <si>
    <t>Bacteria; Actinobacteria</t>
  </si>
  <si>
    <t>Proteobacteria</t>
  </si>
  <si>
    <t>Bacteria; Proteobacteria</t>
  </si>
  <si>
    <t>Verrucomicrobia</t>
  </si>
  <si>
    <t>Bacteria; Verrucomicrobia</t>
  </si>
  <si>
    <t>Euryarchaeota</t>
  </si>
  <si>
    <t>Archaea; Euryarchaeota</t>
  </si>
  <si>
    <t>Chlamydiae</t>
  </si>
  <si>
    <t>Bacteria; Chlamydiae</t>
  </si>
  <si>
    <t>Tenericutes</t>
  </si>
  <si>
    <t>Bacteria; Tenericutes</t>
  </si>
  <si>
    <t>Ascomycota</t>
  </si>
  <si>
    <t>Eukaryota; Ascomycota</t>
  </si>
  <si>
    <t>Spirochaetes</t>
  </si>
  <si>
    <t>Bacteria; Spirochaetes</t>
  </si>
  <si>
    <t>Arthropoda</t>
  </si>
  <si>
    <t>Eukaryota; Arthropoda</t>
  </si>
  <si>
    <t>Class</t>
  </si>
  <si>
    <t>Bacteroidia</t>
  </si>
  <si>
    <t>Bacteria; Bacteroidetes; Bacteroidia</t>
  </si>
  <si>
    <t>Clostridia</t>
  </si>
  <si>
    <t>Bacteria; Firmicutes; Clostridia</t>
  </si>
  <si>
    <t>Bacteria; Actinobacteria; Actinobacteria</t>
  </si>
  <si>
    <t>Negativicutes</t>
  </si>
  <si>
    <t>Bacteria; Firmicutes; Negativicutes</t>
  </si>
  <si>
    <t>Deltaproteobacteria</t>
  </si>
  <si>
    <t>Bacteria; Proteobacteria; Deltaproteobacteria</t>
  </si>
  <si>
    <t>Betaproteobacteria</t>
  </si>
  <si>
    <t>Bacteria; Proteobacteria; Betaproteobacteria</t>
  </si>
  <si>
    <t>Bacilli</t>
  </si>
  <si>
    <t>Bacteria; Firmicutes; Bacilli</t>
  </si>
  <si>
    <t>Coriobacteriia</t>
  </si>
  <si>
    <t>Bacteria; Actinobacteria; Coriobacteriia</t>
  </si>
  <si>
    <t>Erysipelotrichia</t>
  </si>
  <si>
    <t>Bacteria; Firmicutes; Erysipelotrichia</t>
  </si>
  <si>
    <t>Gammaproteobacteria</t>
  </si>
  <si>
    <t>Bacteria; Proteobacteria; Gammaproteobacteria</t>
  </si>
  <si>
    <t>Alphaproteobacteria</t>
  </si>
  <si>
    <t>Bacteria; Proteobacteria; Alphaproteobacteria</t>
  </si>
  <si>
    <t>Verrucomicrobiae</t>
  </si>
  <si>
    <t>Bacteria; Verrucomicrobia; Verrucomicrobiae</t>
  </si>
  <si>
    <t>Methanobacteria</t>
  </si>
  <si>
    <t>Archaea; Euryarchaeota; Methanobacteria</t>
  </si>
  <si>
    <t>Chlamydiia</t>
  </si>
  <si>
    <t>Bacteria; Chlamydiae; Chlamydiia</t>
  </si>
  <si>
    <t>Flavobacteriia</t>
  </si>
  <si>
    <t>Bacteria; Bacteroidetes; Flavobacteriia</t>
  </si>
  <si>
    <t>Mollicutes</t>
  </si>
  <si>
    <t>Bacteria; Tenericutes; Mollicutes</t>
  </si>
  <si>
    <t>Spirochaetia</t>
  </si>
  <si>
    <t>Bacteria; Spirochaetes; Spirochaetia</t>
  </si>
  <si>
    <t>Insecta</t>
  </si>
  <si>
    <t>Eukaryota; Arthropoda; Insecta</t>
  </si>
  <si>
    <t>Tissierellia</t>
  </si>
  <si>
    <t>Bacteria; Firmicutes; Tissierellia</t>
  </si>
  <si>
    <t>Order</t>
  </si>
  <si>
    <t>Bacteroidales</t>
  </si>
  <si>
    <t>Bacteria; Bacteroidetes; Bacteroidia; Bacteroidales</t>
  </si>
  <si>
    <t>Clostridiales</t>
  </si>
  <si>
    <t>Bacteria; Firmicutes; Clostridia; Clostridiales</t>
  </si>
  <si>
    <t>Bifidobacteriales</t>
  </si>
  <si>
    <t>Bacteria; Actinobacteria; Actinobacteria; Bifidobacteriales</t>
  </si>
  <si>
    <t>Veillonellales</t>
  </si>
  <si>
    <t>Bacteria; Firmicutes; Negativicutes; Veillonellales</t>
  </si>
  <si>
    <t>Desulfovibrionales</t>
  </si>
  <si>
    <t>Bacteria; Proteobacteria; Deltaproteobacteria; Desulfovibrionales</t>
  </si>
  <si>
    <t>Burkholderiales</t>
  </si>
  <si>
    <t>Bacteria; Proteobacteria; Betaproteobacteria; Burkholderiales</t>
  </si>
  <si>
    <t>Acidaminococcales</t>
  </si>
  <si>
    <t>Bacteria; Firmicutes; Negativicutes; Acidaminococcales</t>
  </si>
  <si>
    <t>Lactobacillales</t>
  </si>
  <si>
    <t>Bacteria; Firmicutes; Bacilli; Lactobacillales</t>
  </si>
  <si>
    <t>Erysipelotrichales</t>
  </si>
  <si>
    <t>Bacteria; Firmicutes; Erysipelotrichia; Erysipelotrichales</t>
  </si>
  <si>
    <t>Coriobacteriales</t>
  </si>
  <si>
    <t>Bacteria; Actinobacteria; Coriobacteriia; Coriobacteriales</t>
  </si>
  <si>
    <t>Enterobacterales</t>
  </si>
  <si>
    <t>Bacteria; Proteobacteria; Gammaproteobacteria; Enterobacterales</t>
  </si>
  <si>
    <t>Eggerthellales</t>
  </si>
  <si>
    <t>Bacteria; Actinobacteria; Coriobacteriia; Eggerthellales</t>
  </si>
  <si>
    <t>Verrucomicrobiales</t>
  </si>
  <si>
    <t>Bacteria; Verrucomicrobia; Verrucomicrobiae; Verrucomicrobiales</t>
  </si>
  <si>
    <t>Rhodospirillales</t>
  </si>
  <si>
    <t>Bacteria; Proteobacteria; Alphaproteobacteria; Rhodospirillales</t>
  </si>
  <si>
    <t>Bacillales</t>
  </si>
  <si>
    <t>Bacteria; Firmicutes; Bacilli; Bacillales</t>
  </si>
  <si>
    <t>Methanobacteriales</t>
  </si>
  <si>
    <t>Archaea; Euryarchaeota; Methanobacteria; Methanobacteriales</t>
  </si>
  <si>
    <t>Chlamydiales</t>
  </si>
  <si>
    <t>Bacteria; Chlamydiae; Chlamydiia, Chlamydiales</t>
  </si>
  <si>
    <t>Selenomonadales</t>
  </si>
  <si>
    <t>Bacteria; Firmicutes; Negativicutes; Selenomonadales</t>
  </si>
  <si>
    <t>Flavobacteriales</t>
  </si>
  <si>
    <t>Bacteria; Bacteroidetes; Flavobacteriia; Flavobacteriales</t>
  </si>
  <si>
    <t>Rhizobiales</t>
  </si>
  <si>
    <t>Bacteria; Proteobacteria; Alphaproteobacteria; Rhizobiales</t>
  </si>
  <si>
    <t>Rhodobacterales</t>
  </si>
  <si>
    <t>Bacteria; Proteobacteria; Alphaproteobacteria; Rhodobacterales</t>
  </si>
  <si>
    <t>Spirochaetales</t>
  </si>
  <si>
    <t>Bacteria; Spirochaetes; Spirochaetia; Spirochaetales</t>
  </si>
  <si>
    <t>Corynebacteriales</t>
  </si>
  <si>
    <t>Bacteria; Actinobacteria; Actinobacteria; Corynebacteriales</t>
  </si>
  <si>
    <t>Aeromonadales</t>
  </si>
  <si>
    <t>Bacteria; Proteobacteria; Gammaproteobacteria; Aeromonadales</t>
  </si>
  <si>
    <t>Tissierellales</t>
  </si>
  <si>
    <t>Bacteria; Firmicutes; Tissierellia; Tissierellales</t>
  </si>
  <si>
    <t>Family</t>
  </si>
  <si>
    <t>Bacteroidaceae</t>
  </si>
  <si>
    <t xml:space="preserve">Bacteria; Bacteroidetes; Bacteroidia; Bacteroidales; Bacteroidaceae </t>
  </si>
  <si>
    <t>Prevotellaceae</t>
  </si>
  <si>
    <t>Bacteria; Bacteroidetes; Bacteroidia; Bacteroidales; Prevotellaceae</t>
  </si>
  <si>
    <t>Ruminococcaceae</t>
  </si>
  <si>
    <t>Bacteria; Firmicutes; Clostridia; Clostridiales; Ruminococcaceae</t>
  </si>
  <si>
    <t>Lachnospiraceae</t>
  </si>
  <si>
    <t>Bacteria; Firmicutes; Clostridia; Clostridiales; Lachnospiraceae</t>
  </si>
  <si>
    <t>Eubacteriaceae</t>
  </si>
  <si>
    <t>Bacteria; Firmicutes; Clostridia; Clostridiales; Eubacteriaceae</t>
  </si>
  <si>
    <t>Clostridiaceae</t>
  </si>
  <si>
    <t>Bacteria; Firmicutes; Clostridia; Clostridiales; Clostridiaceae</t>
  </si>
  <si>
    <t>Bifidobacteriaceae</t>
  </si>
  <si>
    <t>Bacteria; Actinobacteria; Actinobacteria; Bifidobacteriales; Bifidobacteriaceae</t>
  </si>
  <si>
    <t>Rikenellaceae</t>
  </si>
  <si>
    <t>Bacteria; Bacteroidetes; Bacteroidia; Bacteroidales; Rikenellaceae</t>
  </si>
  <si>
    <t>Tannerellaceae</t>
  </si>
  <si>
    <t>Bacteria; Bacteroidetes; Bacteroidia; Bacteroidales; Tannerellaceae</t>
  </si>
  <si>
    <t>Veillonellaceae</t>
  </si>
  <si>
    <t>Bacteria; Firmicutes; Negativicutes; Veillonellales; Veillonellaceae</t>
  </si>
  <si>
    <t>Desulfovibrionaceae</t>
  </si>
  <si>
    <t>Bacteria; Proteobacteria; Deltaproteobacteria; Desulfovibrionales; Desulfovibrionaceae</t>
  </si>
  <si>
    <t>Acidaminococcaceae</t>
  </si>
  <si>
    <t>Bacteria; Firmicutes; Negativicutes; Acidaminococcales; Acidaminococcaceae</t>
  </si>
  <si>
    <t>Sutterellaceae</t>
  </si>
  <si>
    <t>Bacteria; Proteobacteria; Betaproteobacteria; Burkholderiales; Sutterellaceae</t>
  </si>
  <si>
    <t>Oscillospiraceae</t>
  </si>
  <si>
    <t>Bacteria; Firmicutes; Clostridia; Clostridiales; Oscillospiraceae</t>
  </si>
  <si>
    <t>Erysipelotrichaceae</t>
  </si>
  <si>
    <t>Bacteria; Firmicutes; Erysipelotrichia; Erysipelotrichales; Erysipelotrichaceae</t>
  </si>
  <si>
    <t>Streptococcaceae</t>
  </si>
  <si>
    <t>Bacteria; Firmicutes; Bacilli; Lactobacillales; Streptococcaceae</t>
  </si>
  <si>
    <t>Coriobacteriaceae</t>
  </si>
  <si>
    <t>Bacteria; Actinobacteria; Coriobacteriia; Coriobacteriales; Coriobacteriaceae</t>
  </si>
  <si>
    <t>Odoribacteraceae</t>
  </si>
  <si>
    <t>Bacteria; Bacteroidetes; Bacteroidia; Bacteroidales; Odoribacteraceae</t>
  </si>
  <si>
    <t>Eggerthellaceae</t>
  </si>
  <si>
    <t>Bacteria; Actinobacteria; Coriobacteriia; Eggerthellales; Eggerthellaceae</t>
  </si>
  <si>
    <t>Enterobacteriaceae</t>
  </si>
  <si>
    <t>Bacteria; Proteobacteria; Gammaproteobacteria; Enterobacterales; Enterobacteriaceae</t>
  </si>
  <si>
    <t>Akkermansiaceae</t>
  </si>
  <si>
    <t>Bacteria; Verrucomicrobia; Verrucomicrobiae; Verrucomicrobiales; Akkermansiaceae</t>
  </si>
  <si>
    <t>Acetobacteraceae</t>
  </si>
  <si>
    <t>Bacteria; Proteobacteria; Alphaproteobacteria; Rhodospirillales; Acetobacteraceae</t>
  </si>
  <si>
    <t>Methanobacteriaceae</t>
  </si>
  <si>
    <t>Archaea; Euryarchaeota; Methanobacteria; Methanobacteriales; Methanobacteriaceae</t>
  </si>
  <si>
    <t>Chlamydiaceae</t>
  </si>
  <si>
    <t>Bacteria; Chlamydiae; Chlamydiia, Chlamydiales; Chlamydiaceae</t>
  </si>
  <si>
    <t>Lactobacillaceae</t>
  </si>
  <si>
    <t>Bacteria; Firmicutes; Bacilli; Lactobacillales; Lactobacillaceae</t>
  </si>
  <si>
    <t>Porphyromonadaceae</t>
  </si>
  <si>
    <t>Bacteria; Bacteroidetes; Bacteroidia; Bacteroidales; Porphyromonadaceae</t>
  </si>
  <si>
    <t>Barnesiellaceae</t>
  </si>
  <si>
    <t>Bacteria; Bacteroidetes; Bacteroidia; Bacteroidales; Barnesiellaceae</t>
  </si>
  <si>
    <t>Rhodospirillaceae</t>
  </si>
  <si>
    <t>Bacteria; Proteobacteria; Alphaproteobacteria; Rhodospirillales; Rhodospirillaceae</t>
  </si>
  <si>
    <t>Selenomonadaceae</t>
  </si>
  <si>
    <t>Bacteria; Firmicutes; Negativicutes; Selenomonadales; Selenomonadaceae</t>
  </si>
  <si>
    <t>Flavobacteriaceae</t>
  </si>
  <si>
    <t>Bacteria; Bacteroidetes; Flavobacteriia; Flavobacteriales; Flavobacteriaceae</t>
  </si>
  <si>
    <t>Rhodobacteraceae</t>
  </si>
  <si>
    <t>Bacteria; Proteobacteria; Alphaproteobacteria; Rhodobacterales; Rhodobacteraceae</t>
  </si>
  <si>
    <t>Succinivibrionaceae</t>
  </si>
  <si>
    <t>Bacteria; Proteobacteria; Gammaproteobacteria; Aeromonadales; Succinivibrionaceae</t>
  </si>
  <si>
    <t>Spirochaetaceae</t>
  </si>
  <si>
    <t>Bacteria; Spirochaetes; Spirochaetia; Spirochaetales; Spirochaetaceae</t>
  </si>
  <si>
    <t>Peptoniphilaceae</t>
  </si>
  <si>
    <t>Bacteria; Firmicutes; Tissierellia; Tissierellales; Peptoniphilaceae</t>
  </si>
  <si>
    <t>Genus</t>
  </si>
  <si>
    <t>Bacteroides</t>
  </si>
  <si>
    <t>Bacteria; Bacteroidetes; Bacteroidia; Bacteroidales; Bacteroidaceae; Bacteroides</t>
  </si>
  <si>
    <t>Prevotella</t>
  </si>
  <si>
    <t>Bacteria; Bacteroidetes; Bacteroidia; Bacteroidales; Prevotellaceae; Prevotella</t>
  </si>
  <si>
    <t>Faecalibacterium</t>
  </si>
  <si>
    <t>Bacteria; Firmicutes; Clostridia; Clostridiales; Ruminococcaceae; Faecalibacterium</t>
  </si>
  <si>
    <t>Eubacterium</t>
  </si>
  <si>
    <t>Bacteria; Firmicutes; Clostridia; Clostridiales; Eubacteriaceae; Eubacterium</t>
  </si>
  <si>
    <t>Ruminococcus</t>
  </si>
  <si>
    <t>Bacteria; Firmicutes; Clostridia; Clostridiales; Ruminococcaceae; Ruminococcus</t>
  </si>
  <si>
    <t>Clostridium</t>
  </si>
  <si>
    <t>Bacteria; Firmicutes; Clostridia; Clostridiales; Clostridiaceae; Clostridium</t>
  </si>
  <si>
    <t>Roseburia</t>
  </si>
  <si>
    <t>Bacteria; Firmicutes; Clostridia; Clostridiales; Lachnospiraceae; Roseburia</t>
  </si>
  <si>
    <t>Bifidobacterium</t>
  </si>
  <si>
    <t>Bacteria; Actinobacteria; Actinobacteria; Bifidobacteriales; Bifidobacteriaceae; Bifidobacterium</t>
  </si>
  <si>
    <t>Alistipes</t>
  </si>
  <si>
    <t>Bacteria; Bacteroidetes; Bacteroidia; Bacteroidales; Rikenellaceae; Alistipes</t>
  </si>
  <si>
    <t>Parabacteroides</t>
  </si>
  <si>
    <t>Bacteria; Bacteroidetes; Bacteroidia; Bacteroidales; Tannerellaceae; Parabacteroides</t>
  </si>
  <si>
    <t>Dialister</t>
  </si>
  <si>
    <t>Bacteria; Firmicutes; Negativicutes; Veillonellales; Veillonellaceae; Dialister</t>
  </si>
  <si>
    <t>Blautia</t>
  </si>
  <si>
    <t>Bacteria; Firmicutes; Clostridia; Clostridiales; Lachnospiraceae; Blautia</t>
  </si>
  <si>
    <t>Subdoligranulum</t>
  </si>
  <si>
    <t>Bacteria; Firmicutes; Clostridia; Clostridiales; Ruminococcaceae; Subdoligranulum</t>
  </si>
  <si>
    <t>Sutterella</t>
  </si>
  <si>
    <t>Bacteria; Proteobacteria; Betaproteobacteria; Burkholderiales; Sutterellaceae; Sutterella</t>
  </si>
  <si>
    <t>Oscillibacter</t>
  </si>
  <si>
    <t>Bacteria; Firmicutes; Clostridia; Clostridiales; Oscillospiraceae; Oscillibacter</t>
  </si>
  <si>
    <t>Phascolarctobacterium</t>
  </si>
  <si>
    <t>Bacteria; Firmicutes; Negativicutes; Acidaminococcales; Acidaminococcaceae; Phascolarctobacterium</t>
  </si>
  <si>
    <t>Coprococcus</t>
  </si>
  <si>
    <t>Bacteria; Firmicutes; Clostridia; Clostridiales; Lachnospiraceae; Coprococcus</t>
  </si>
  <si>
    <t>Bilophila</t>
  </si>
  <si>
    <t>Bacteria; Proteobacteria; Deltaproteobacteria; Desulfovibrionales; Desulfovibrionaceae; Bilophila</t>
  </si>
  <si>
    <t>Paraprevotella</t>
  </si>
  <si>
    <t>Bacteria; Bacteroidetes; Bacteroidia; Bacteroidales; Prevotellaceae; Paraprevotella</t>
  </si>
  <si>
    <t>Desulfovibrio</t>
  </si>
  <si>
    <t>Bacteria; Proteobacteria; Deltaproteobacteria; Desulfovibrionales; Desulfovibrionaceae; Desulfovibrio</t>
  </si>
  <si>
    <t>Collinsella</t>
  </si>
  <si>
    <t>Bacteria; Actinobacteria; Coriobacteriia; Coriobacteriales; Coriobacteriaceae; Collinsella</t>
  </si>
  <si>
    <t>Dorea</t>
  </si>
  <si>
    <t>Bacteria; Firmicutes; Clostridia; Clostridiales; Lachnospiraceae; Dorea</t>
  </si>
  <si>
    <t>Streptococcus</t>
  </si>
  <si>
    <t>Bacteria; Firmicutes; Bacilli; Lactobacillales; Streptococcaceae; Streptococcus</t>
  </si>
  <si>
    <t>Butyricicoccus</t>
  </si>
  <si>
    <t>Bacteria; Firmicutes; Clostridia; Clostridiales; Clostridiaceae; Butyricicoccus</t>
  </si>
  <si>
    <t>Odoribacter</t>
  </si>
  <si>
    <t>Bacteria; Bacteroidetes; Bacteroidia; Bacteroidales; Odoribacteraceae; Odoribacter</t>
  </si>
  <si>
    <t>Flavonifractor</t>
  </si>
  <si>
    <t>Bacteria; Firmicutes; Clostridia; Clostridiales; -; Flavonifractor</t>
  </si>
  <si>
    <t>Holdemanella</t>
  </si>
  <si>
    <t>Bacteria; Firmicutes; Erysipelotrichia; Erysipelotrichales; Erysipelotrichaceae; Holdemanella</t>
  </si>
  <si>
    <t>Acidaminococcus</t>
  </si>
  <si>
    <t>Bacteria; Firmicutes; Negativicutes; Acidaminococcales; Acidaminococcaceae; Acidaminococcus</t>
  </si>
  <si>
    <t>Blastocystis</t>
  </si>
  <si>
    <t>Eukaryota; -; -; -; -; Blastocystis</t>
  </si>
  <si>
    <t>Catenibacterium</t>
  </si>
  <si>
    <t>Bacteria; Firmicutes; Erysipelotrichia; Erysipelotrichales; Erysipelotrichaceae; Catenibacterium</t>
  </si>
  <si>
    <t>Lactococcus</t>
  </si>
  <si>
    <t>Bacteria; Firmicutes; Bacilli; Lactobacillales; Streptococcaceae; Lactococcus</t>
  </si>
  <si>
    <t>Butyrivibrio</t>
  </si>
  <si>
    <t>Bacteria; Firmicutes; Clostridia; Clostridiales; Lachnospiraceae; Butyrivibrio</t>
  </si>
  <si>
    <t>Lachnospira</t>
  </si>
  <si>
    <t>Bacteria; Firmicutes; Clostridia; Clostridiales; Lachnospiraceae; Lachnospira</t>
  </si>
  <si>
    <t>Akkermansia</t>
  </si>
  <si>
    <t>Bacteria; Verrucomicrobia; Verrucomicrobiae; Verrucomicrobiales; Akkermansiaceae; Akkermansia</t>
  </si>
  <si>
    <t>Eggerthella</t>
  </si>
  <si>
    <t>Bacteria; Actinobacteria; Coriobacteriia; Eggerthellales; Eggerthellaceae; Eggerthella</t>
  </si>
  <si>
    <t>Acetobacter</t>
  </si>
  <si>
    <t>Bacteria; Proteobacteria; Alphaproteobacteria; Rhodospirillales; Acetobacteraceae; Acetobacter</t>
  </si>
  <si>
    <t>Anaerotruncus</t>
  </si>
  <si>
    <t>Bacteria; Firmicutes; Clostridia; Clostridiales; Ruminococcaceae; Anaerotruncus</t>
  </si>
  <si>
    <t>Lachnoclostridium</t>
  </si>
  <si>
    <t>Bacteria; Firmicutes; Clostridia; Clostridiales; Lachnospiraceae; Lachnoclostridium</t>
  </si>
  <si>
    <t>Chlamydia</t>
  </si>
  <si>
    <t>Bacteria; Chlamydiae; Chlamydiia, Chlamydiales; Chlamydia</t>
  </si>
  <si>
    <t>Anaerostipes</t>
  </si>
  <si>
    <t>Bacteria; Firmicutes; Clostridia; Clostridiales; Lachnospiraceae; Anaerostipes</t>
  </si>
  <si>
    <t>Methanobrevibacter</t>
  </si>
  <si>
    <t>Archaea; Euryarchaeota; Methanobacteria; Methanobacteriales; Methanobacteriaceae; Methanobrevibacter</t>
  </si>
  <si>
    <t>Fusicatenibacter</t>
  </si>
  <si>
    <t>Bacteria; Firmicutes; Clostridia; Clostridiales; Lachnospiraceae; Fusicatenibacter</t>
  </si>
  <si>
    <t>Lactobacillus</t>
  </si>
  <si>
    <t>Bacteria; Firmicutes; Bacilli; Lactobacillales; Lactobacillaceae; Lactobacillus</t>
  </si>
  <si>
    <t>Porphyromonas</t>
  </si>
  <si>
    <t>Bacteria; Bacteroidetes; Bacteroidia; Bacteroidales; Porphyromonadaceae; Porphyromonas</t>
  </si>
  <si>
    <t>Barnesiella</t>
  </si>
  <si>
    <t>Bacteria; Bacteroidetes; Bacteroidia; Bacteroidales; Barnesiellaceae; Barnesiella</t>
  </si>
  <si>
    <t>Azospirillum</t>
  </si>
  <si>
    <t>Bacteria; Proteobacteria; Alphaproteobacteria; Rhodospirillales; Rhodospirillaceae; Azospirillum</t>
  </si>
  <si>
    <t>Veillonella</t>
  </si>
  <si>
    <t>Bacteria; Firmicutes; Negativicutes; Veillonellales; Veillonellaceae; Veillonella</t>
  </si>
  <si>
    <t>Herbinix</t>
  </si>
  <si>
    <t>Bacteria; Firmicutes; Clostridia; Clostridiales; Lachnospiraceae; Herbinix</t>
  </si>
  <si>
    <t>Ruminiclostridium</t>
  </si>
  <si>
    <t>Bacteria; Firmicutes; Clostridia; Clostridiales; Ruminococcaceae; Ruminiclostridium</t>
  </si>
  <si>
    <t>Alloprevotella</t>
  </si>
  <si>
    <t>Bacteria; Bacteroidetes; Bacteroidia; Bacteroidales; Prevotellaceae; Alloprevotella</t>
  </si>
  <si>
    <t>Succinatimonas</t>
  </si>
  <si>
    <t>Bacteria; Proteobacteria; Gammaproteobacteria; Aeromonadales; Succinivibrionaceae; Succinatimonas</t>
  </si>
  <si>
    <t>Treponema</t>
  </si>
  <si>
    <t>Bacteria; Spirochaetes; Spirochaetia; Spirochaetales; Spirochaetaceae; Treponema</t>
  </si>
  <si>
    <t>Tannerella</t>
  </si>
  <si>
    <t>Bacteria; Bacteroidetes; Bacteroidia; Bacteroidales; Tannerellaceae; Tannerella</t>
  </si>
  <si>
    <t>Species</t>
  </si>
  <si>
    <t>Faecalibacterium prausnitzii</t>
  </si>
  <si>
    <t>Bacteria; Firmicutes; Clostridia; Clostridiales; Ruminococcaceae; Faecalibacterium; Faecalibacterium prausnitzii</t>
  </si>
  <si>
    <t>Prevotella copri</t>
  </si>
  <si>
    <t>Bacteria; Bacteroidetes; Bacteroidia; Bacteroidales; Prevotellaceae; Prevotella; Prevotella copri</t>
  </si>
  <si>
    <t>Prevotella sp. 109</t>
  </si>
  <si>
    <t>Bacteria; Bacteroidetes; Bacteroidia; Bacteroidales; Prevotellaceae; Prevotella; Prevotella sp. 109</t>
  </si>
  <si>
    <t>Bacteroides massiliensis</t>
  </si>
  <si>
    <t>Bacteria; Bacteroidetes; Bacteroidia; Bacteroidales; Bacteroidaceae; Bacteroides; Bacteroides massiliensis</t>
  </si>
  <si>
    <t>Ruminococcus bromii</t>
  </si>
  <si>
    <t>Bacteria; Firmicutes; Clostridia; Clostridiales; Ruminococcaceae; Ruminococcus; Ruminococcus bromii</t>
  </si>
  <si>
    <t>Bacteroides plebeius</t>
  </si>
  <si>
    <t>Bacteria; Bacteroidetes; Bacteroidia; Bacteroidales; Bacteroidaceae; Bacteroides; Bacteroides plebeius</t>
  </si>
  <si>
    <t>Bacteroides coprocola</t>
  </si>
  <si>
    <t>Bacteria; Bacteroidetes; Bacteroidia; Bacteroidales; Bacteroidaceae; Bacteroides; Bacteroides coprocola</t>
  </si>
  <si>
    <t>Roseburia faecis</t>
  </si>
  <si>
    <t>Bacteria; Firmicutes; Clostridia; Clostridiales; Lachnospiraceae; Roseburia; Roseburia faecis</t>
  </si>
  <si>
    <t>Alistipes putredinis</t>
  </si>
  <si>
    <t>Bacteria; Bacteroidetes; Bacteroidia; Bacteroidales; Rikenellaceae; Alistipes; Alistipes putredinis</t>
  </si>
  <si>
    <t>Subdoligranulum variabile</t>
  </si>
  <si>
    <t>Bacteria; Firmicutes; Clostridia; Clostridiales; Ruminococcaceae; Subdoligranulum; Subdoligranulum variabile</t>
  </si>
  <si>
    <t>Prevotella stercorea</t>
  </si>
  <si>
    <t>Bacteria; Bacteroidetes; Bacteroidia; Bacteroidales; Prevotellaceae; Prevotella; Prevotella stercorea</t>
  </si>
  <si>
    <t>Bacteroides vulgatus</t>
  </si>
  <si>
    <t>Bacteria; Bacteroidetes; Bacteroidia; Bacteroidales; Bacteroidaceae; Bacteroides; Bacteroides vulgatus</t>
  </si>
  <si>
    <t>Bacteroides uniformis</t>
  </si>
  <si>
    <t>Bacteria; Bacteroidetes; Bacteroidia; Bacteroidales; Bacteroidaceae; Bacteroides; Bacteroides uniformis</t>
  </si>
  <si>
    <t>Bacteroides coprophilus</t>
  </si>
  <si>
    <t>Bacteria; Bacteroidetes; Bacteroidia; Bacteroidales; Bacteroidaceae; Bacteroides; Bacteroides coprophilus</t>
  </si>
  <si>
    <t>[Eubacterium] hallii</t>
  </si>
  <si>
    <t>Bacteria; Firmicutes; Clostridia; Clostridiales; Eubacteriaceae; Eubacterium; [Eubacterium] hallii</t>
  </si>
  <si>
    <t>Parabacteroides merdae</t>
  </si>
  <si>
    <t>Bacteria; Bacteroidetes; Bacteroidia; Bacteroidales; Tannerellaceae; Parabacteroides; Parabacteroides merdae</t>
  </si>
  <si>
    <t>Bifidobacterium bifidum</t>
  </si>
  <si>
    <t>Bacteria; Actinobacteria; Actinobacteria; Bifidobacteriales; Bifidobacteriaceae; Bifidobacterium; Bifidobacterium bifidum</t>
  </si>
  <si>
    <t>Bacteroides stercoris</t>
  </si>
  <si>
    <t>Bacteria; Bacteroidetes; Bacteroidia; Bacteroidales; Bacteroidaceae; Bacteroides; Bacteroides stercoris</t>
  </si>
  <si>
    <t>[Eubacterium] eligens</t>
  </si>
  <si>
    <t>Bacteria; Firmicutes; Clostridia; Clostridiales; Eubacteriaceae; Eubacterium; [Eubacterium] eligens</t>
  </si>
  <si>
    <t>Phascolarctobacterium succinatutens</t>
  </si>
  <si>
    <t>Bacteria; Firmicutes; Negativicutes; Acidaminococcales; Acidaminococcaceae; Phascolarctobacterium; Phascolarctobacterium succinatutens</t>
  </si>
  <si>
    <t>Bacteroides eggerthii</t>
  </si>
  <si>
    <t>Bacteria; Bacteroidetes; Bacteroidia; Bacteroidales; Bacteroidaceae; Bacteroides; Bacteroides eggerthii</t>
  </si>
  <si>
    <t>Blautia wexlerae</t>
  </si>
  <si>
    <t>Bacteria; Firmicutes; Clostridia; Clostridiales; Lachnospiraceae; Blautia; Blautia wexlerae</t>
  </si>
  <si>
    <t>Sutterella wadsworthensis</t>
  </si>
  <si>
    <t>Bacteria; Proteobacteria; Betaproteobacteria; Burkholderiales; Sutterellaceae; Sutterella; Sutterella wadsworthensis</t>
  </si>
  <si>
    <t>Blautia obeum</t>
  </si>
  <si>
    <t>Bacteria; Firmicutes; Clostridia; Clostridiales; Lachnospiraceae; Blautia; Blautia obeum</t>
  </si>
  <si>
    <t>Ruminococcus sp. 5_1_39BFAA</t>
  </si>
  <si>
    <t>Bacteria; Firmicutes; Clostridia; Clostridiales; Ruminococcaceae; Ruminococcus; Ruminococcus sp. 5_1_39BFAA</t>
  </si>
  <si>
    <t>Dialister invisus</t>
  </si>
  <si>
    <t>Bacteria; Firmicutes; Negativicutes; Veillonellales; Veillonellaceae; Dialister; Dialister invisus</t>
  </si>
  <si>
    <t>Roseburia inulinivorans</t>
  </si>
  <si>
    <t>Bacteria; Firmicutes; Clostridia; Clostridiales; Lachnospiraceae; Roseburia; Roseburia inulinivorans</t>
  </si>
  <si>
    <t>Desulfovibrio piger</t>
  </si>
  <si>
    <t>Bacteria; Proteobacteria; Deltaproteobacteria; Desulfovibrionales; Desulfovibrionaceae; Desulfovibrio; Desulfovibrio piger</t>
  </si>
  <si>
    <t>Alistipes inops</t>
  </si>
  <si>
    <t>Bacteria; Bacteroidetes; Bacteroidia; Bacteroidales; Rikenellaceae; Alistipes; Alistipes inops</t>
  </si>
  <si>
    <t>Oscillibacter sp. KLE 1745</t>
  </si>
  <si>
    <t>Bacteria; Firmicutes; Clostridia; Clostridiales; Oscillospiraceae; Oscillibacter; Oscillibacter sp. KLE 1745</t>
  </si>
  <si>
    <t>Roseburia intestinalis</t>
  </si>
  <si>
    <t>Bacteria; Firmicutes; Clostridia; Clostridiales; Lachnospiraceae; Roseburia; Roseburia intestinalis</t>
  </si>
  <si>
    <t>Bacteroides thetaiotaomicron</t>
  </si>
  <si>
    <t>Bacteria; Bacteroidetes; Bacteroidia; Bacteroidales; Bacteroidaceae; Bacteroides; Bacteroides thetaiotaomicron</t>
  </si>
  <si>
    <t>Ruminococcus bicirculans</t>
  </si>
  <si>
    <t>Bacteria; Firmicutes; Clostridia; Clostridiales; Ruminococcaceae; Ruminococcus; Ruminococcus bicirculans</t>
  </si>
  <si>
    <t>Bacteroides caccae</t>
  </si>
  <si>
    <t>Bacteria; Bacteroidetes; Bacteroidia; Bacteroidales; Bacteroidaceae; Bacteroides; Bacteroides caccae</t>
  </si>
  <si>
    <t>Holdemanella biformis</t>
  </si>
  <si>
    <t>Bacteria; Firmicutes; Erysipelotrichia; Erysipelotrichales; Erysipelotrichaceae; Holdemanella; Holdemanella biformis</t>
  </si>
  <si>
    <t>Bacteroides salanitronis</t>
  </si>
  <si>
    <t>Bacteria; Bacteroidetes; Bacteroidia; Bacteroidales; Bacteroidaceae; Bacteroides; Bacteroides salanitronis</t>
  </si>
  <si>
    <t>Odoribacter splanchnicus</t>
  </si>
  <si>
    <t>Bacteria; Bacteroidetes; Bacteroidia; Bacteroidales; Odoribacteraceae; Odoribacter; Odoribacter splanchnicus</t>
  </si>
  <si>
    <t>Coprococcus eutactus</t>
  </si>
  <si>
    <t>Bacteria; Firmicutes; Clostridia; Clostridiales; Lachnospiraceae; Coprococcus; Coprococcus eutactus</t>
  </si>
  <si>
    <t>Bacteroides sp. 4_1_36</t>
  </si>
  <si>
    <t>Bacteria; Bacteroidetes; Bacteroidia; Bacteroidales; Bacteroidaceae; Bacteroides; Bacteroides sp. 4_1_36</t>
  </si>
  <si>
    <t>Dorea longicatena</t>
  </si>
  <si>
    <t>Bacteria; Firmicutes; Clostridia; Clostridiales; Lachnospiraceae; Dorea; Dorea longicatena</t>
  </si>
  <si>
    <t>[Eubacterium] rectale</t>
  </si>
  <si>
    <t>Bacteria; Firmicutes; Clostridia; Clostridiales; Lachnospiraceae; -; [Eubacterium] rectale</t>
  </si>
  <si>
    <t>Coprococcus comes</t>
  </si>
  <si>
    <t>Bacteria; Firmicutes; Clostridia; Clostridiales; Lachnospiraceae; Coprococcus; Coprococcus comes</t>
  </si>
  <si>
    <t>Parabacteroides johnsonii</t>
  </si>
  <si>
    <t>Bacteria; Bacteroidetes; Bacteroidia; Bacteroidales; Tannerellaceae; Parabacteroides; Parabacteroides johnsonii</t>
  </si>
  <si>
    <t>Dorea formicigenerans</t>
  </si>
  <si>
    <t>Bacteria; Firmicutes; Clostridia; Clostridiales; Lachnospiraceae; Dorea; Dorea formicigenerans</t>
  </si>
  <si>
    <t>Ruminococcus callidus</t>
  </si>
  <si>
    <t>Bacteria; Firmicutes; Clostridia; Clostridiales; Ruminococcaceae; Ruminococcus; Ruminococcus callidus</t>
  </si>
  <si>
    <t>Bacteroides dorei</t>
  </si>
  <si>
    <t>Bacteria; Bacteroidetes; Bacteroidia; Bacteroidales; Bacteroidaceae; Bacteroides; Bacteroides dorei</t>
  </si>
  <si>
    <t>Dialister succinatiphilus</t>
  </si>
  <si>
    <t>Bacteria; Firmicutes; Negativicutes; Veillonellales; Veillonellaceae; Dialister; Dialister succinatiphilus</t>
  </si>
  <si>
    <t>Bifidobacterium adolescentis</t>
  </si>
  <si>
    <t>Bacteria; Actinobacteria; Actinobacteria; Bifidobacteriales; Bifidobacteriaceae; Bifidobacterium; Bifidobacterium adolescentis</t>
  </si>
  <si>
    <t>Coprococcus catus</t>
  </si>
  <si>
    <t>Bacteria; Firmicutes; Clostridia; Clostridiales; Lachnospiraceae; Coprococcus; Coprococcus catus</t>
  </si>
  <si>
    <t>Catenibacterium mitsuokai</t>
  </si>
  <si>
    <t>Bacteria; Firmicutes; Erysipelotrichia; Erysipelotrichales; Erysipelotrichaceae; Catenibacterium; Catenibacterium mitsuokai</t>
  </si>
  <si>
    <t>Clostridium disporicum</t>
  </si>
  <si>
    <t>Bacteria; Firmicutes; Clostridia; Clostridiales; Clostridiaceae; Clostridium; Clostridium disporicum</t>
  </si>
  <si>
    <t>Lactococcus lactis</t>
  </si>
  <si>
    <t>Bacteria; Firmicutes; Bacilli; Lactobacillales; Streptococcaceae; Lactococcus; Lactococcus lactis</t>
  </si>
  <si>
    <t>Paraprevotella clara</t>
  </si>
  <si>
    <t>Bacteria; Bacteroidetes; Bacteroidia; Bacteroidales; Prevotellaceae; Paraprevotella; Paraprevotella clara</t>
  </si>
  <si>
    <t>Blastocystis sp. subtype 1</t>
  </si>
  <si>
    <t>Eukaryota; -; -; -; -; Blastocystis; Blastocystis sp. subtype 1</t>
  </si>
  <si>
    <t>Sutterella sp. KLE1602</t>
  </si>
  <si>
    <t>Bacteria; Proteobacteria; Betaproteobacteria; Burkholderiales; Sutterellaceae; Sutterella; Sutterella sp. KLE1602</t>
  </si>
  <si>
    <t>Parabacteroides distasonis</t>
  </si>
  <si>
    <t>Bacteria; Bacteroidetes; Bacteroidia; Bacteroidales; Tannerellaceae; Parabacteroides; Parabacteroides distasonis</t>
  </si>
  <si>
    <t>Alistipes shahii</t>
  </si>
  <si>
    <t>Bacteria; Bacteroidetes; Bacteroidia; Bacteroidales; Rikenellaceae; Alistipes; Alistipes shahii</t>
  </si>
  <si>
    <t>Bilophila wadsworthia</t>
  </si>
  <si>
    <t>Bacteria; Proteobacteria; Deltaproteobacteria; Desulfovibrionales; Desulfovibrionaceae; Bilophila; Bilophila wadsworthia</t>
  </si>
  <si>
    <t>Chlamydia trachomatis</t>
  </si>
  <si>
    <t>Bacteria; Chlamydiae; Chlamydiia, Chlamydiales; Chlamydia; Chlamydia trachomatis</t>
  </si>
  <si>
    <t>Lachnospira pectinoschiza</t>
  </si>
  <si>
    <t>Bacteria; Firmicutes; Clostridia; Clostridiales; Lachnospiraceae; Lachnospira; Lachnospira pectinoschiza</t>
  </si>
  <si>
    <t>Oscillibacter valericigenes</t>
  </si>
  <si>
    <t>Bacteria; Firmicutes; Clostridia; Clostridiales; Oscillospiraceae; Oscillibacter; Oscillibacter valericigenes</t>
  </si>
  <si>
    <t>Prevotella sp. P5-119</t>
  </si>
  <si>
    <t>Bacteria; Bacteroidetes; Bacteroidia; Bacteroidales; Prevotellaceae; Prevotella; Prevotella sp. P5-119</t>
  </si>
  <si>
    <t>Roseburia hominis</t>
  </si>
  <si>
    <t>Bacteria; Firmicutes; Clostridia; Clostridiales; Lachnospiraceae; Roseburia; Roseburia hominis</t>
  </si>
  <si>
    <t>Alistipes finegoldii</t>
  </si>
  <si>
    <t>Bacteria; Bacteroidetes; Bacteroidia; Bacteroidales; Rikenellaceae; Alistipes; Alistipes finegoldii</t>
  </si>
  <si>
    <t>Bacteroides intestinalis</t>
  </si>
  <si>
    <t>Bacteria; Bacteroidetes; Bacteroidia; Bacteroidales; Bacteroidaceae; Bacteroides; Bacteroides intestinalis</t>
  </si>
  <si>
    <t>Burkholderiales bacterium 1_1_47</t>
  </si>
  <si>
    <t>Bacteria; Proteobacteria; Betaproteobacteria; Burkholderiales; -; -; Burkholderiales bacterium 1_1_47</t>
  </si>
  <si>
    <t>Fusicatenibacter saccharivorans</t>
  </si>
  <si>
    <t>Bacteria; Firmicutes; Clostridia; Clostridiales; Lachnospiraceae; Fusicatenibacter; Fusicatenibacter saccharivorans</t>
  </si>
  <si>
    <t>Phascolarctobacterium sp. CAG:207</t>
  </si>
  <si>
    <t>Bacteria; Firmicutes; Negativicutes; Acidaminococcales; Acidaminococcaceae; Phascolarctobacterium; Phascolarctobacterium sp. CAG:207</t>
  </si>
  <si>
    <t>Prevotella buccae</t>
  </si>
  <si>
    <t>Bacteria; Bacteroidetes; Bacteroidia; Bacteroidales; Prevotellaceae; Prevotella; Prevotella buccae</t>
  </si>
  <si>
    <t>Bifidobacterium longum</t>
  </si>
  <si>
    <t>Bacteria; Actinobacteria; Actinobacteria; Bifidobacteriales; Bifidobacteriaceae; Bifidobacterium; Bifidobacterium longum</t>
  </si>
  <si>
    <t>Blautia hydrogenotrophica</t>
  </si>
  <si>
    <t>Bacteria; Firmicutes; Clostridia; Clostridiales; Lachnospiraceae; Blautia; Blautia hydrogenotrophica</t>
  </si>
  <si>
    <t>Clostridiales bacterium KLE1615</t>
  </si>
  <si>
    <t>Bacteria; Firmicutes; Clostridia; Clostridiales; -; -; Clostridiales bacterium KLE1615</t>
  </si>
  <si>
    <t>Collinsella aerofaciens</t>
  </si>
  <si>
    <t>Bacteria; Actinobacteria; Coriobacteriia; Coriobacteriales; Coriobacteriaceae; Collinsella; Collinsella aerofaciens</t>
  </si>
  <si>
    <t>Parabacteroides sp. YL27</t>
  </si>
  <si>
    <t>Bacteria; Bacteroidetes; Bacteroidia; Bacteroidales; Tannerellaceae; Parabacteroides; Parabacteroides sp. YL27</t>
  </si>
  <si>
    <t>[Ruminococcus] torques</t>
  </si>
  <si>
    <t>Bacteria; Firmicutes; Clostridia; Clostridiales; Lachnospiraceae; Blautia; [Ruminococcus] torques</t>
  </si>
  <si>
    <t>Akkermansia muciniphila</t>
  </si>
  <si>
    <t>Bacteria; Verrucomicrobia; Verrucomicrobiae; Verrucomicrobiales; Akkermansiaceae; Akkermansia; Akkermansia muciniphila</t>
  </si>
  <si>
    <t>Bacteroides pyogenes</t>
  </si>
  <si>
    <t>Bacteria; Bacteroidetes; Bacteroidia; Bacteroidales; Bacteroidaceae; Bacteroides; Bacteroides pyogenes</t>
  </si>
  <si>
    <t>Eubacterium ventriosum</t>
  </si>
  <si>
    <t>Bacteria; Firmicutes; Clostridia; Clostridiales; Eubacteriaceae; Eubacterium; Eubacterium ventriosum</t>
  </si>
  <si>
    <t>Streptococcus thermophilus</t>
  </si>
  <si>
    <t>Bacteria; Firmicutes; Bacilli; Lactobacillales; Streptococcaceae; Streptococcus; Streptococcus thermophilus</t>
  </si>
  <si>
    <t>[Eubacterium] dolichum</t>
  </si>
  <si>
    <t>Bacteria; Firmicutes; Erysipelotrichia; Erysipelotrichales; Erysipelotrichaceae; -; [Eubacterium] dolichum</t>
  </si>
  <si>
    <t>Anaerotruncus colihominis</t>
  </si>
  <si>
    <t>Bacteria; Firmicutes; Clostridia; Clostridiales; Ruminococcaceae; Anaerotruncus; Anaerotruncus colihominis</t>
  </si>
  <si>
    <t>Bacteroides cellulosilyticus</t>
  </si>
  <si>
    <t>Bacteria; Bacteroidetes; Bacteroidia; Bacteroidales; Bacteroidaceae; Bacteroides; Bacteroides cellulosilyticus</t>
  </si>
  <si>
    <t>Bacteroides helcogenes</t>
  </si>
  <si>
    <t>Bacteria; Bacteroidetes; Bacteroidia; Bacteroidales; Bacteroidaceae; Bacteroides; Bacteroides helcogenes</t>
  </si>
  <si>
    <t>Barnesiella intestinihominis</t>
  </si>
  <si>
    <t>Bacteria; Bacteroidetes; Bacteroidia; Bacteroidales; Barnesiellaceae; Barnesiella; Barnesiella intestinihominis</t>
  </si>
  <si>
    <t>Butyricicoccus pullicaecorum</t>
  </si>
  <si>
    <t>Bacteria; Firmicutes; Clostridia; Clostridiales; Clostridiaceae; Butyricicoccus; Butyricicoccus pullicaecorum</t>
  </si>
  <si>
    <t>Clostridium sp. MSTE9</t>
  </si>
  <si>
    <t>Bacteria; Firmicutes; Clostridia; Clostridiales; Clostridiaceae; Clostridium; Clostridium sp. MSTE9</t>
  </si>
  <si>
    <t>Eubacterium plexicaudatum</t>
  </si>
  <si>
    <t>Bacteria; Firmicutes; Clostridia; Clostridiales; Eubacteriaceae; Eubacterium; Eubacterium plexicaudatum</t>
  </si>
  <si>
    <t>Prevotella maculosa</t>
  </si>
  <si>
    <t>Bacteria; Bacteroidetes; Bacteroidia; Bacteroidales; Prevotellaceae; Prevotella; Prevotella maculosa</t>
  </si>
  <si>
    <t>Prevotella ruminicola</t>
  </si>
  <si>
    <t>Bacteria; Bacteroidetes; Bacteroidia; Bacteroidales; Prevotellaceae; Prevotella; Prevotella ruminicola</t>
  </si>
  <si>
    <t>Prevotella saccharolytica</t>
  </si>
  <si>
    <t>Bacteria; Bacteroidetes; Bacteroidia; Bacteroidales; Prevotellaceae; Prevotella; Prevotella saccharolytica</t>
  </si>
  <si>
    <t>[Clostridium] asparagiforme</t>
  </si>
  <si>
    <t>Bacteria; Firmicutes; Clostridia; Clostridiales; Lachnospiraceae; Lachnoclostridium; [Clostridium] asparagiforme</t>
  </si>
  <si>
    <t>Alistipes sp. CHKCI003</t>
  </si>
  <si>
    <t>Bacteria; Bacteroidetes; Bacteroidia; Bacteroidales; Rikenellaceae; Alistipes; Alistipes sp. CHKCI003</t>
  </si>
  <si>
    <t>Bacteroidales bacterium KA00344</t>
  </si>
  <si>
    <t>Bacteria; Bacteroidetes; Bacteroidia; Bacteroidales; -; -; Bacteroidales bacterium KA00344</t>
  </si>
  <si>
    <t>Bacteroides finegoldii</t>
  </si>
  <si>
    <t>Bacteria; Bacteroidetes; Bacteroidia; Bacteroidales; Bacteroidaceae; Bacteroides; Bacteroides finegoldii</t>
  </si>
  <si>
    <t>Bacteroides fluxus</t>
  </si>
  <si>
    <t>Bacteria; Bacteroidetes; Bacteroidia; Bacteroidales; Bacteroidaceae; Bacteroides; Bacteroides fluxus</t>
  </si>
  <si>
    <t>Bacteroides graminisolvens</t>
  </si>
  <si>
    <t>Bacteria; Bacteroidetes; Bacteroidia; Bacteroidales; Bacteroidaceae; Bacteroides; Bacteroides graminisolvens</t>
  </si>
  <si>
    <t>Bacteroides nordii</t>
  </si>
  <si>
    <t>Bacteria; Bacteroidetes; Bacteroidia; Bacteroidales; Bacteroidaceae; Bacteroides; Bacteroides nordii</t>
  </si>
  <si>
    <t>Blautia sp. KLE 1732</t>
  </si>
  <si>
    <t>Bacteria; Firmicutes; Clostridia; Clostridiales; Lachnospiraceae; Blautia; Blautia sp. KLE 1732</t>
  </si>
  <si>
    <t>Butyrivibrio fibrisolvens</t>
  </si>
  <si>
    <t>Bacteria; Firmicutes; Clostridia; Clostridiales; Lachnospiraceae; Butyrivibrio; Butyrivibrio fibrisolvens</t>
  </si>
  <si>
    <t>Clostridiales bacterium 1_7_47FAA</t>
  </si>
  <si>
    <t>Bacteria; Firmicutes; Clostridia; Clostridiales; -; -; Clostridiales bacterium 1_7_47FAA</t>
  </si>
  <si>
    <t>Clostridium paraputrificum</t>
  </si>
  <si>
    <t>Bacteria; Firmicutes; Clostridia; Clostridiales; Clostridiaceae; Clostridium; Clostridium paraputrificum</t>
  </si>
  <si>
    <t>Parabacteroides goldsteinii</t>
  </si>
  <si>
    <t>Bacteria; Bacteroidetes; Bacteroidia; Bacteroidales; Tannerellaceae; Parabacteroides; Parabacteroides goldsteinii</t>
  </si>
  <si>
    <t>Prevotella multisaccharivorax</t>
  </si>
  <si>
    <t>Bacteria; Bacteroidetes; Bacteroidia; Bacteroidales; Prevotellaceae; Prevotella; Prevotella multisaccharivorax</t>
  </si>
  <si>
    <t>Prevotella sp. oral taxon 299</t>
  </si>
  <si>
    <t>Bacteria; Bacteroidetes; Bacteroidia; Bacteroidales; Prevotellaceae; Prevotella; Prevotella sp. oral taxon 299</t>
  </si>
  <si>
    <t>Ruminococcus albus</t>
  </si>
  <si>
    <t>Bacteria; Firmicutes; Clostridia; Clostridiales; Ruminococcaceae; Ruminococcus; Ruminococcus albus</t>
  </si>
  <si>
    <t>More intensity</t>
  </si>
  <si>
    <t>Less intensity</t>
  </si>
  <si>
    <t>Position</t>
  </si>
  <si>
    <t>Protein name</t>
  </si>
  <si>
    <t>COG accesion</t>
  </si>
  <si>
    <t>%</t>
  </si>
  <si>
    <t>Glyceraldehyde-3-phosphate dehydrogenase/erythrose-4-phosphate dehydrogenase(2333)</t>
  </si>
  <si>
    <t>COG0057</t>
  </si>
  <si>
    <t>Translation elongation factor EF-Tu, a GTPase(2272)</t>
  </si>
  <si>
    <t>COG0050</t>
  </si>
  <si>
    <t>ABC-type glycerol-3-phosphate transport system, periplasmic component(15818)</t>
  </si>
  <si>
    <t>COG1653</t>
  </si>
  <si>
    <t>Chaperonin GroEL (HSP60 family)(2675)</t>
  </si>
  <si>
    <t>COG0459</t>
  </si>
  <si>
    <t>Chromosome segregation ATPase(16768)</t>
  </si>
  <si>
    <t>COG1196</t>
  </si>
  <si>
    <t>Uncharacterized conserved protein RhaS, contains 28 RHS repeats(16194)</t>
  </si>
  <si>
    <t>COG3209</t>
  </si>
  <si>
    <t>Rubrerythrin(4121)</t>
  </si>
  <si>
    <t>COG1592</t>
  </si>
  <si>
    <t>Glutamate dehydrogenase/leucine dehydrogenase(2586)</t>
  </si>
  <si>
    <t>COG0334</t>
  </si>
  <si>
    <t>Ferredoxin(6245)</t>
  </si>
  <si>
    <t>COG1145</t>
  </si>
  <si>
    <t>Tetratricopeptide (TPR) repeat(13357)</t>
  </si>
  <si>
    <t>COG0457</t>
  </si>
  <si>
    <t>Outer membrane receptor for ferrienterochelin and colicins(16693)</t>
  </si>
  <si>
    <t>COG4771</t>
  </si>
  <si>
    <t>Phosphoenolpyruvate-protein kinase (PTS system EI component in bacteria)(4879)</t>
  </si>
  <si>
    <t>COG1080</t>
  </si>
  <si>
    <t>Outer membrane cobalamin receptor protein(11370)</t>
  </si>
  <si>
    <t>COG4206</t>
  </si>
  <si>
    <t>Outer membrane protein (porin)(3240)</t>
  </si>
  <si>
    <t>COG3203</t>
  </si>
  <si>
    <t>ABC-type Fe3+/spermidine/putrescine transport systems, ATPase components(6455)</t>
  </si>
  <si>
    <t>COG3842</t>
  </si>
  <si>
    <t>Flagellar hook-associated protein FlgK(847)</t>
  </si>
  <si>
    <t>COG1256</t>
  </si>
  <si>
    <t>Phosphoenolpyruvate carboxykinase, ATP-dependent(1458)</t>
  </si>
  <si>
    <t>COG1866</t>
  </si>
  <si>
    <t>Fructose/tagatose bisphosphate aldolase(3616)</t>
  </si>
  <si>
    <t>COG0191</t>
  </si>
  <si>
    <t>Molecular chaperone DnaK (HSP70)(4614)</t>
  </si>
  <si>
    <t>COG0443</t>
  </si>
  <si>
    <t>Ribosomal protein S7(1653)</t>
  </si>
  <si>
    <t>COG0049</t>
  </si>
  <si>
    <t>Acetyl-CoA acetyltransferase(2274)</t>
  </si>
  <si>
    <t>COG0183</t>
  </si>
  <si>
    <t>Ribosomal protein L7/L12(1565)</t>
  </si>
  <si>
    <t>COG0222</t>
  </si>
  <si>
    <t>Uncharacterized N-terminal domain of peptidoglycan hydrolase CwlO(1434)</t>
  </si>
  <si>
    <t>COG3883</t>
  </si>
  <si>
    <t>Translation elongation factor EF-G, a GTPase(5433)</t>
  </si>
  <si>
    <t>COG0480</t>
  </si>
  <si>
    <t>Molecular chaperone IbpA, HSP20 family(2345)</t>
  </si>
  <si>
    <t>COG0071</t>
  </si>
  <si>
    <t>Outer membrane protein OmpA and related peptidoglycan-associated (lipo)proteins(5834)</t>
  </si>
  <si>
    <t>COG2885</t>
  </si>
  <si>
    <t>Glucan-binding domain (YG repeat)(10174)</t>
  </si>
  <si>
    <t>COG5263</t>
  </si>
  <si>
    <t>Biopolymer transport protein ExbB/TolQ(1774)</t>
  </si>
  <si>
    <t>COG0811</t>
  </si>
  <si>
    <t>Flagellin and related hook-associated protein FlgL(3044)</t>
  </si>
  <si>
    <t>COG1344</t>
  </si>
  <si>
    <t>Ribosomal protein S1(2019)</t>
  </si>
  <si>
    <t>COG0539</t>
  </si>
  <si>
    <t>KO</t>
  </si>
  <si>
    <t>Definition</t>
  </si>
  <si>
    <t>Entry</t>
  </si>
  <si>
    <t>Main Organisms</t>
  </si>
  <si>
    <t>K00074</t>
  </si>
  <si>
    <t>paaH</t>
  </si>
  <si>
    <t xml:space="preserve"> 3-hydroxybutyryl-CoA dehydrogenase </t>
  </si>
  <si>
    <t>EC:1.1.1.157</t>
  </si>
  <si>
    <t>K00100</t>
  </si>
  <si>
    <t>bdhAB</t>
  </si>
  <si>
    <t xml:space="preserve"> butanol dehydrogenase </t>
  </si>
  <si>
    <t>EC:1.1.1.-</t>
  </si>
  <si>
    <t>Firmicutes, Actinobacteria</t>
  </si>
  <si>
    <t>K00174</t>
  </si>
  <si>
    <t>korA</t>
  </si>
  <si>
    <t xml:space="preserve"> 2-oxoglutarate/2-oxoacid ferredoxin oxidoreductase subunit alpha </t>
  </si>
  <si>
    <t>EC:1.2.7.3; 1.2.7.11</t>
  </si>
  <si>
    <t>Bacteroidetes, Firmicutes</t>
  </si>
  <si>
    <t>K00175</t>
  </si>
  <si>
    <t>korB</t>
  </si>
  <si>
    <t xml:space="preserve"> 2-oxoglutarate/2-oxoacid ferredoxin oxidoreductase subunit beta </t>
  </si>
  <si>
    <t>K00239</t>
  </si>
  <si>
    <t>sdhA</t>
  </si>
  <si>
    <t xml:space="preserve"> succinate dehydrogenase / fumarate reductase, flavoprotein subunit </t>
  </si>
  <si>
    <t>EC:1.3.5.1; 1.3.5.4</t>
  </si>
  <si>
    <t>K00240</t>
  </si>
  <si>
    <t>sdhB</t>
  </si>
  <si>
    <t xml:space="preserve"> succinate dehydrogenase / fumarate reductase, iron-sulfur subunit </t>
  </si>
  <si>
    <t>K00244</t>
  </si>
  <si>
    <t>frdA</t>
  </si>
  <si>
    <t xml:space="preserve"> fumarate reductase flavoprotein subunit </t>
  </si>
  <si>
    <t>EC:1.3.5.4</t>
  </si>
  <si>
    <t>Firmicutes, Proteobacteria</t>
  </si>
  <si>
    <t>K00245</t>
  </si>
  <si>
    <t>frdB</t>
  </si>
  <si>
    <t xml:space="preserve"> fumarate reductase iron-sulfur subunit </t>
  </si>
  <si>
    <t>K00248</t>
  </si>
  <si>
    <t>ACADS</t>
  </si>
  <si>
    <t xml:space="preserve"> butyryl-CoA dehydrogenase </t>
  </si>
  <si>
    <t>EC:1.3.8.1</t>
  </si>
  <si>
    <t>K00626</t>
  </si>
  <si>
    <t>ACAT</t>
  </si>
  <si>
    <t xml:space="preserve"> acetyl-CoA C-acetyltransferase </t>
  </si>
  <si>
    <t>EC:2.3.1.9</t>
  </si>
  <si>
    <t>K00656</t>
  </si>
  <si>
    <t>E2.3.1.54</t>
  </si>
  <si>
    <t xml:space="preserve"> formate C-acetyltransferase </t>
  </si>
  <si>
    <t>EC:2.3.1.54</t>
  </si>
  <si>
    <t>Actinobacteria, Firmicutes, Bacteroidetes, Proteobacteria</t>
  </si>
  <si>
    <t>K00929</t>
  </si>
  <si>
    <t>buk</t>
  </si>
  <si>
    <t xml:space="preserve"> butyrate kinase </t>
  </si>
  <si>
    <t>EC:2.7.2.7</t>
  </si>
  <si>
    <t>K01039</t>
  </si>
  <si>
    <t>gctA</t>
  </si>
  <si>
    <t xml:space="preserve"> glutaconate CoA-transferase, subunit A </t>
  </si>
  <si>
    <t>EC:2.8.3.12</t>
  </si>
  <si>
    <t>K01040</t>
  </si>
  <si>
    <t>gctB</t>
  </si>
  <si>
    <t xml:space="preserve"> glutaconate CoA-transferase, subunit B </t>
  </si>
  <si>
    <t>K01615</t>
  </si>
  <si>
    <t>gcdA</t>
  </si>
  <si>
    <t xml:space="preserve"> glutaconyl-CoA decarboxylase subunit alpha </t>
  </si>
  <si>
    <t>EC:7.2.4.5</t>
  </si>
  <si>
    <t>K01653</t>
  </si>
  <si>
    <t>E2.2.1.6S</t>
  </si>
  <si>
    <t xml:space="preserve"> acetolactate synthase I/III small subunit </t>
  </si>
  <si>
    <t>EC:2.2.1.6</t>
  </si>
  <si>
    <t>K01715</t>
  </si>
  <si>
    <t>crt</t>
  </si>
  <si>
    <t xml:space="preserve"> enoyl-CoA hydratase </t>
  </si>
  <si>
    <t>EC:4.2.1.17</t>
  </si>
  <si>
    <t>K03737</t>
  </si>
  <si>
    <t>por</t>
  </si>
  <si>
    <t xml:space="preserve"> pyruvate-ferredoxin/flavodoxin oxidoreductase </t>
  </si>
  <si>
    <t>EC:1.2.7.1; 1.2.7.-</t>
  </si>
  <si>
    <t>Firmicutes, Bacteroidetes</t>
  </si>
  <si>
    <t>K04072</t>
  </si>
  <si>
    <t>adhE</t>
  </si>
  <si>
    <t xml:space="preserve"> acetaldehyde dehydrogenase / alcohol dehydrogenase </t>
  </si>
  <si>
    <t>EC:1.2.1.10; 1.1.1.1</t>
  </si>
  <si>
    <t>Protein ID</t>
  </si>
  <si>
    <t>Name in network</t>
  </si>
  <si>
    <t>S1 intensity</t>
  </si>
  <si>
    <t>S1 (%)</t>
  </si>
  <si>
    <t>S2 intensity</t>
  </si>
  <si>
    <t>S2 (%)</t>
  </si>
  <si>
    <t>S3 intensity</t>
  </si>
  <si>
    <t>S3 (%)</t>
  </si>
  <si>
    <t>S4 intensity</t>
  </si>
  <si>
    <t>S4 (%)</t>
  </si>
  <si>
    <t>S5 intensity</t>
  </si>
  <si>
    <t>S5 (%)</t>
  </si>
  <si>
    <t>S6 intensity</t>
  </si>
  <si>
    <t>S6 (%)</t>
  </si>
  <si>
    <t>Mean (%)</t>
  </si>
  <si>
    <t>Q99895</t>
  </si>
  <si>
    <t>CTRC</t>
  </si>
  <si>
    <t>Chymotrypsin-C</t>
  </si>
  <si>
    <t>PRSS2</t>
  </si>
  <si>
    <t>PRSS3P2</t>
  </si>
  <si>
    <t>Trypsin-2</t>
  </si>
  <si>
    <t>P04054</t>
  </si>
  <si>
    <t>PLA2G1B</t>
  </si>
  <si>
    <t>Phospholipase A2</t>
  </si>
  <si>
    <t>P04745</t>
  </si>
  <si>
    <t>AMY1 (A, B and C)</t>
  </si>
  <si>
    <t>Amylase, alpha 1</t>
  </si>
  <si>
    <t>P15086</t>
  </si>
  <si>
    <t>CPB1</t>
  </si>
  <si>
    <t>M14 carboxypeptidases</t>
  </si>
  <si>
    <t>Q6GPI1</t>
  </si>
  <si>
    <t>CTRB2</t>
  </si>
  <si>
    <t>Chymotrypsinogen B2</t>
  </si>
  <si>
    <t>Q8WWU7</t>
  </si>
  <si>
    <t>ITLN2</t>
  </si>
  <si>
    <t>Intelectin-2</t>
  </si>
  <si>
    <t>Q9NR71</t>
  </si>
  <si>
    <t>ASAH2</t>
  </si>
  <si>
    <t>Neutral ceramidase</t>
  </si>
  <si>
    <t>P15085</t>
  </si>
  <si>
    <t>CPA1</t>
  </si>
  <si>
    <t>Carboxypeptidase A1</t>
  </si>
  <si>
    <t>P61626</t>
  </si>
  <si>
    <t>LYZ</t>
  </si>
  <si>
    <t>Lysozyme C</t>
  </si>
  <si>
    <t>P08473</t>
  </si>
  <si>
    <t>MME</t>
  </si>
  <si>
    <t>Neprilysin</t>
  </si>
  <si>
    <t>Q02817</t>
  </si>
  <si>
    <t>MUC2</t>
  </si>
  <si>
    <t>Mucin 2</t>
  </si>
  <si>
    <t>Q8WWA0</t>
  </si>
  <si>
    <t>ITLN1</t>
  </si>
  <si>
    <t>Intelectin-1</t>
  </si>
  <si>
    <t>P16444</t>
  </si>
  <si>
    <t>DPEP1</t>
  </si>
  <si>
    <t>Dipeptidase 1</t>
  </si>
  <si>
    <t>P06702</t>
  </si>
  <si>
    <t>S100A9</t>
  </si>
  <si>
    <t>Protein S100-A9</t>
  </si>
  <si>
    <t>B7ZL91</t>
  </si>
  <si>
    <t>MEP1A</t>
  </si>
  <si>
    <t>Meprin A subunit alpha</t>
  </si>
  <si>
    <t>P56470</t>
  </si>
  <si>
    <t>LGALS4</t>
  </si>
  <si>
    <t>Galectin-4</t>
  </si>
  <si>
    <t>P63261</t>
  </si>
  <si>
    <t>ACTG1</t>
  </si>
  <si>
    <t>Actin, cytoplasmic 2</t>
  </si>
  <si>
    <t>P15144</t>
  </si>
  <si>
    <t>ANPEP</t>
  </si>
  <si>
    <t>Aminopeptidase N</t>
  </si>
  <si>
    <t>P0CG48</t>
  </si>
  <si>
    <t>UBC</t>
  </si>
  <si>
    <t>Polyubiquitin-C</t>
  </si>
  <si>
    <t>P11678</t>
  </si>
  <si>
    <t>EPX</t>
  </si>
  <si>
    <t>Eosinophil peroxidase</t>
  </si>
  <si>
    <t>P12882</t>
  </si>
  <si>
    <t>MYH1</t>
  </si>
  <si>
    <t>Myosin-1</t>
  </si>
  <si>
    <t>P48052</t>
  </si>
  <si>
    <t>CPA2</t>
  </si>
  <si>
    <t>P07355</t>
  </si>
  <si>
    <t>ANXA2</t>
  </si>
  <si>
    <t>Annexin A2</t>
  </si>
  <si>
    <t>P05109</t>
  </si>
  <si>
    <t>S100A8</t>
  </si>
  <si>
    <t>Protein S100-A8</t>
  </si>
  <si>
    <t>P98088</t>
  </si>
  <si>
    <t>MUC5A</t>
  </si>
  <si>
    <t>Mucin-5AC</t>
  </si>
  <si>
    <t>P19961</t>
  </si>
  <si>
    <t>AMY2B</t>
  </si>
  <si>
    <t>Amylase, alpha 2B</t>
  </si>
  <si>
    <t>Q01523</t>
  </si>
  <si>
    <t>DEFA5</t>
  </si>
  <si>
    <t>Defensin-5</t>
  </si>
  <si>
    <t>P05090</t>
  </si>
  <si>
    <t>APOD</t>
  </si>
  <si>
    <t>Apolipoprotein D</t>
  </si>
  <si>
    <t>C9J0K6</t>
  </si>
  <si>
    <t>SRI</t>
  </si>
  <si>
    <t>Sorcin</t>
  </si>
  <si>
    <t>J3QKX5</t>
  </si>
  <si>
    <t>MEP1B</t>
  </si>
  <si>
    <t>Meprin A subunit beta</t>
  </si>
  <si>
    <t>Q9H3R2</t>
  </si>
  <si>
    <t>MUC13</t>
  </si>
  <si>
    <t>Mucin-13</t>
  </si>
  <si>
    <t>P98073</t>
  </si>
  <si>
    <t>TMPRSS15</t>
  </si>
  <si>
    <t>Enteropeptidase</t>
  </si>
  <si>
    <t>Q5TEC6</t>
  </si>
  <si>
    <t>HIST2H3PS2</t>
  </si>
  <si>
    <t>Histone cluster 2 H3 pseudogene 2</t>
  </si>
  <si>
    <t>P17931</t>
  </si>
  <si>
    <t>LGALS3</t>
  </si>
  <si>
    <t>Galectin-3</t>
  </si>
  <si>
    <t>Table S2: Functional analysis of the proteomes obtained with different protocols. The abundance of each COG category is represented as the sum of the intensities of all proteins annotated to that COG category in each sample.</t>
  </si>
  <si>
    <t xml:space="preserve">Table S5. The thirty most abundant microbial proteins identified in the study.
</t>
  </si>
  <si>
    <t>Table S6. KOs entries belonging to proteins from butanoate metabolism pathway identified in the study.</t>
  </si>
  <si>
    <t>Table S7. List of the most abundant human proteins identified in the six human gut microbiota samples used for the STRING analysis.</t>
  </si>
  <si>
    <t>Table S4. Functional analysis of the proteomes from the human gut microbiota of 6 healthy adults. The abundance of each COG category is represented as the sum of the intensities of all the proteins annotated to that COG category in each sample. The box color indicates a gradient of intensity. The intensity marked in red is of special interest and is discussed in depth in the text.</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</si>
</sst>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Arial"/>
    </font>
    <font>
      <sz val="11"/>
      <color rgb="FF000000"/>
      <name val="Times New Roman"/>
    </font>
    <font>
      <sz val="11"/>
      <color theme="1"/>
      <name val="Calibri"/>
    </font>
    <font>
      <b/>
      <sz val="11"/>
      <color rgb="FF000000"/>
      <name val="Times New Roman"/>
    </font>
    <font>
      <sz val="11"/>
      <name val="Arial"/>
    </font>
    <font>
      <sz val="11"/>
      <color theme="1"/>
      <name val="Times New Roman"/>
    </font>
    <font>
      <b/>
      <sz val="11"/>
      <color theme="1"/>
      <name val="Times New Roman"/>
    </font>
    <font>
      <sz val="11"/>
      <color rgb="FFFF0000"/>
      <name val="Times New Roman"/>
    </font>
  </fonts>
  <fills count="10">
    <fill>
      <patternFill patternType="none"/>
    </fill>
    <fill>
      <patternFill patternType="gray125"/>
    </fill>
    <fill>
      <patternFill patternType="solid">
        <fgColor rgb="FFD0CECE"/>
        <bgColor rgb="FFD0CECE"/>
      </patternFill>
    </fill>
    <fill>
      <patternFill patternType="solid">
        <fgColor theme="9"/>
        <bgColor theme="9"/>
      </patternFill>
    </fill>
    <fill>
      <patternFill patternType="solid">
        <fgColor theme="5"/>
        <bgColor theme="5"/>
      </patternFill>
    </fill>
    <fill>
      <patternFill patternType="solid">
        <fgColor rgb="FFFFFF00"/>
        <bgColor rgb="FFFFFF00"/>
      </patternFill>
    </fill>
    <fill>
      <patternFill patternType="solid">
        <fgColor theme="7"/>
        <bgColor theme="7"/>
      </patternFill>
    </fill>
    <fill>
      <patternFill patternType="solid">
        <fgColor theme="0"/>
        <bgColor theme="0"/>
      </patternFill>
    </fill>
    <fill>
      <patternFill patternType="solid">
        <fgColor theme="4"/>
        <bgColor theme="4"/>
      </patternFill>
    </fill>
    <fill>
      <patternFill patternType="solid">
        <fgColor theme="8" tint="0.39997558519241921"/>
        <bgColor rgb="FF44546A"/>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bottom style="thin">
        <color rgb="FF9CC2E5"/>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63">
    <xf numFmtId="0" fontId="0" fillId="0" borderId="0" xfId="0" applyFont="1" applyAlignment="1"/>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5" fillId="0" borderId="0" xfId="0" applyFont="1" applyAlignment="1"/>
    <xf numFmtId="0" fontId="6" fillId="3" borderId="7" xfId="0" applyFont="1" applyFill="1" applyBorder="1"/>
    <xf numFmtId="0" fontId="6" fillId="3" borderId="8" xfId="0" applyFont="1" applyFill="1" applyBorder="1"/>
    <xf numFmtId="0" fontId="6" fillId="3" borderId="9" xfId="0" applyFont="1" applyFill="1" applyBorder="1"/>
    <xf numFmtId="0" fontId="5" fillId="0" borderId="1" xfId="0" applyFont="1" applyBorder="1"/>
    <xf numFmtId="0" fontId="5" fillId="0" borderId="0" xfId="0" applyFont="1"/>
    <xf numFmtId="0" fontId="6" fillId="4" borderId="10"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2" xfId="0" applyFont="1" applyFill="1" applyBorder="1" applyAlignment="1">
      <alignment vertical="center"/>
    </xf>
    <xf numFmtId="0" fontId="5" fillId="0" borderId="3" xfId="0" applyFont="1" applyBorder="1"/>
    <xf numFmtId="0" fontId="5" fillId="0" borderId="1" xfId="0" applyFont="1" applyBorder="1" applyAlignment="1">
      <alignment horizontal="center"/>
    </xf>
    <xf numFmtId="0" fontId="5" fillId="0" borderId="2" xfId="0" applyFont="1" applyBorder="1"/>
    <xf numFmtId="0" fontId="5" fillId="0" borderId="13" xfId="0" applyFont="1" applyBorder="1"/>
    <xf numFmtId="0" fontId="5" fillId="0" borderId="14" xfId="0" applyFont="1" applyBorder="1"/>
    <xf numFmtId="0" fontId="5" fillId="0" borderId="14" xfId="0" applyFont="1" applyBorder="1" applyAlignment="1">
      <alignment horizontal="center"/>
    </xf>
    <xf numFmtId="0" fontId="5" fillId="0" borderId="15" xfId="0" applyFont="1" applyBorder="1"/>
    <xf numFmtId="0" fontId="5" fillId="0" borderId="16" xfId="0" applyFont="1" applyBorder="1"/>
    <xf numFmtId="0" fontId="5" fillId="0" borderId="6" xfId="0" applyFont="1" applyBorder="1"/>
    <xf numFmtId="0" fontId="5" fillId="0" borderId="6" xfId="0" applyFont="1" applyBorder="1" applyAlignment="1">
      <alignment horizontal="center"/>
    </xf>
    <xf numFmtId="0" fontId="5" fillId="0" borderId="17" xfId="0" applyFont="1" applyBorder="1"/>
    <xf numFmtId="0" fontId="5" fillId="0" borderId="18" xfId="0" applyFont="1" applyBorder="1"/>
    <xf numFmtId="0" fontId="5" fillId="0" borderId="4" xfId="0" applyFont="1" applyBorder="1"/>
    <xf numFmtId="0" fontId="5" fillId="0" borderId="4" xfId="0" applyFont="1" applyBorder="1" applyAlignment="1">
      <alignment horizontal="center"/>
    </xf>
    <xf numFmtId="0" fontId="5" fillId="0" borderId="19" xfId="0" applyFont="1" applyBorder="1"/>
    <xf numFmtId="0" fontId="6" fillId="0" borderId="20" xfId="0" applyFont="1" applyBorder="1"/>
    <xf numFmtId="0" fontId="6" fillId="0" borderId="21" xfId="0" applyFont="1" applyBorder="1"/>
    <xf numFmtId="0" fontId="5" fillId="0" borderId="20" xfId="0" applyFont="1" applyBorder="1"/>
    <xf numFmtId="0" fontId="5" fillId="0" borderId="21" xfId="0" applyFont="1" applyBorder="1"/>
    <xf numFmtId="0" fontId="5" fillId="0" borderId="22" xfId="0" applyFont="1" applyBorder="1"/>
    <xf numFmtId="0" fontId="5" fillId="0" borderId="23" xfId="0" applyFont="1" applyBorder="1"/>
    <xf numFmtId="0" fontId="5" fillId="5" borderId="24" xfId="0" applyFont="1" applyFill="1" applyBorder="1"/>
    <xf numFmtId="0" fontId="1" fillId="5" borderId="24" xfId="0" applyFont="1" applyFill="1" applyBorder="1"/>
    <xf numFmtId="0" fontId="7" fillId="5" borderId="24" xfId="0" applyFont="1" applyFill="1" applyBorder="1"/>
    <xf numFmtId="0" fontId="5" fillId="0" borderId="25" xfId="0" applyFont="1" applyBorder="1"/>
    <xf numFmtId="0" fontId="5" fillId="0" borderId="26" xfId="0" applyFont="1" applyBorder="1"/>
    <xf numFmtId="0" fontId="5" fillId="6" borderId="1" xfId="0" applyFont="1" applyFill="1" applyBorder="1"/>
    <xf numFmtId="0" fontId="5" fillId="7" borderId="1" xfId="0" applyFont="1" applyFill="1" applyBorder="1" applyAlignment="1">
      <alignment horizontal="left"/>
    </xf>
    <xf numFmtId="0" fontId="5" fillId="7" borderId="1" xfId="0" applyFont="1" applyFill="1" applyBorder="1"/>
    <xf numFmtId="0" fontId="6" fillId="0" borderId="27" xfId="0" applyFont="1" applyBorder="1" applyAlignment="1">
      <alignment horizontal="left"/>
    </xf>
    <xf numFmtId="0" fontId="5" fillId="8" borderId="1" xfId="0" applyFont="1" applyFill="1" applyBorder="1"/>
    <xf numFmtId="0" fontId="5" fillId="0" borderId="0" xfId="0" applyFont="1" applyAlignment="1">
      <alignment horizontal="left"/>
    </xf>
    <xf numFmtId="0" fontId="5" fillId="7" borderId="28" xfId="0" applyFont="1" applyFill="1" applyBorder="1"/>
    <xf numFmtId="0" fontId="5" fillId="7" borderId="1" xfId="0" applyFont="1" applyFill="1" applyBorder="1"/>
    <xf numFmtId="0" fontId="5" fillId="7" borderId="29" xfId="0" applyFont="1" applyFill="1" applyBorder="1"/>
    <xf numFmtId="0" fontId="5" fillId="7" borderId="30" xfId="0" applyFont="1" applyFill="1" applyBorder="1"/>
    <xf numFmtId="0" fontId="5" fillId="7" borderId="31" xfId="0" applyFont="1" applyFill="1" applyBorder="1"/>
    <xf numFmtId="0" fontId="1" fillId="0" borderId="4" xfId="0" applyFont="1" applyBorder="1" applyAlignment="1">
      <alignment horizontal="center" vertical="center" wrapText="1"/>
    </xf>
    <xf numFmtId="0" fontId="4" fillId="0" borderId="5" xfId="0" applyFont="1" applyBorder="1"/>
    <xf numFmtId="0" fontId="4" fillId="0" borderId="6" xfId="0" applyFont="1" applyBorder="1"/>
    <xf numFmtId="0" fontId="1" fillId="0" borderId="2" xfId="0" applyFont="1" applyBorder="1" applyAlignment="1">
      <alignment horizontal="center" vertical="center" wrapText="1"/>
    </xf>
    <xf numFmtId="0" fontId="4" fillId="0" borderId="3" xfId="0" applyFont="1" applyBorder="1"/>
    <xf numFmtId="0" fontId="3" fillId="2" borderId="2" xfId="0" applyFont="1" applyFill="1" applyBorder="1" applyAlignment="1">
      <alignment horizontal="center" vertical="center" wrapText="1"/>
    </xf>
    <xf numFmtId="0" fontId="3" fillId="0" borderId="4" xfId="0" applyFont="1" applyBorder="1" applyAlignment="1">
      <alignment horizontal="center" vertical="center" wrapText="1"/>
    </xf>
    <xf numFmtId="0" fontId="5" fillId="9" borderId="10" xfId="0" applyFont="1" applyFill="1" applyBorder="1"/>
    <xf numFmtId="0" fontId="5" fillId="9" borderId="11" xfId="0" applyFont="1" applyFill="1" applyBorder="1"/>
    <xf numFmtId="0" fontId="5" fillId="9" borderId="12" xfId="0" applyFont="1" applyFill="1" applyBorder="1"/>
  </cellXfs>
  <cellStyles count="1">
    <cellStyle name="Normal" xfId="0" builtinId="0"/>
  </cellStyles>
  <dxfs count="6">
    <dxf>
      <fill>
        <patternFill patternType="solid">
          <fgColor rgb="FF44546A"/>
          <bgColor theme="8" tint="0.39997558519241921"/>
        </patternFill>
      </fill>
    </dxf>
    <dxf>
      <fill>
        <patternFill patternType="solid">
          <fgColor rgb="FFFFC000"/>
          <bgColor rgb="FFFFC000"/>
        </patternFill>
      </fill>
    </dxf>
    <dxf>
      <fill>
        <patternFill patternType="solid">
          <fgColor rgb="FFFFC000"/>
          <bgColor rgb="FFFFC000"/>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Table S7-style" pivot="0" count="3">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676275</xdr:colOff>
      <xdr:row>2</xdr:row>
      <xdr:rowOff>28575</xdr:rowOff>
    </xdr:from>
    <xdr:ext cx="76200" cy="23241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id="1" name="Table_1" displayName="Table_1" ref="A2:P37" headerRowDxfId="0">
  <tableColumns count="16">
    <tableColumn id="1" name="Protein ID"/>
    <tableColumn id="2" name="Name in network"/>
    <tableColumn id="3" name="Protein name"/>
    <tableColumn id="4" name="S1 intensity"/>
    <tableColumn id="5" name="S1 (%)"/>
    <tableColumn id="6" name="S2 intensity"/>
    <tableColumn id="7" name="S2 (%)"/>
    <tableColumn id="8" name="S3 intensity"/>
    <tableColumn id="9" name="S3 (%)"/>
    <tableColumn id="10" name="S4 intensity"/>
    <tableColumn id="11" name="S4 (%)"/>
    <tableColumn id="12" name="S5 intensity"/>
    <tableColumn id="13" name="S5 (%)"/>
    <tableColumn id="14" name="S6 intensity"/>
    <tableColumn id="15" name="S6 (%)"/>
    <tableColumn id="16" name="Mean (%)"/>
  </tableColumns>
  <tableStyleInfo name="Table S7-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selection activeCell="E35" sqref="E35"/>
    </sheetView>
  </sheetViews>
  <sheetFormatPr baseColWidth="10" defaultColWidth="12.625" defaultRowHeight="15" customHeight="1" x14ac:dyDescent="0.2"/>
  <cols>
    <col min="1" max="5" width="10.125" customWidth="1"/>
    <col min="6" max="6" width="11.875" customWidth="1"/>
    <col min="7" max="10" width="10.125" customWidth="1"/>
    <col min="11" max="26" width="9.375" customWidth="1"/>
  </cols>
  <sheetData>
    <row r="1" spans="1:26" ht="14.2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30.75" customHeight="1" x14ac:dyDescent="0.25">
      <c r="A2" s="3" t="s">
        <v>1</v>
      </c>
      <c r="B2" s="3" t="s">
        <v>2</v>
      </c>
      <c r="C2" s="58" t="s">
        <v>3</v>
      </c>
      <c r="D2" s="57"/>
      <c r="E2" s="58" t="s">
        <v>4</v>
      </c>
      <c r="F2" s="57"/>
      <c r="G2" s="58" t="s">
        <v>5</v>
      </c>
      <c r="H2" s="57"/>
      <c r="I2" s="58" t="s">
        <v>6</v>
      </c>
      <c r="J2" s="57"/>
      <c r="K2" s="2"/>
      <c r="L2" s="2"/>
      <c r="M2" s="2"/>
      <c r="N2" s="2"/>
      <c r="O2" s="2"/>
      <c r="P2" s="2"/>
      <c r="Q2" s="2"/>
      <c r="R2" s="2"/>
      <c r="S2" s="2"/>
      <c r="T2" s="2"/>
      <c r="U2" s="2"/>
      <c r="V2" s="2"/>
      <c r="W2" s="2"/>
      <c r="X2" s="2"/>
      <c r="Y2" s="2"/>
      <c r="Z2" s="2"/>
    </row>
    <row r="3" spans="1:26" ht="14.25" customHeight="1" x14ac:dyDescent="0.25">
      <c r="A3" s="59" t="s">
        <v>7</v>
      </c>
      <c r="B3" s="4" t="s">
        <v>16</v>
      </c>
      <c r="C3" s="5">
        <v>11921</v>
      </c>
      <c r="D3" s="53">
        <v>16215</v>
      </c>
      <c r="E3" s="5">
        <v>9.9</v>
      </c>
      <c r="F3" s="53">
        <v>14</v>
      </c>
      <c r="G3" s="5">
        <v>8078</v>
      </c>
      <c r="H3" s="53">
        <v>11126</v>
      </c>
      <c r="I3" s="5">
        <v>3266</v>
      </c>
      <c r="J3" s="53">
        <v>4104</v>
      </c>
      <c r="K3" s="2"/>
      <c r="L3" s="2"/>
      <c r="M3" s="2"/>
      <c r="N3" s="2"/>
      <c r="O3" s="2"/>
      <c r="P3" s="2"/>
      <c r="Q3" s="2"/>
      <c r="R3" s="2"/>
      <c r="S3" s="2"/>
      <c r="T3" s="2"/>
      <c r="U3" s="2"/>
      <c r="V3" s="2"/>
      <c r="W3" s="2"/>
      <c r="X3" s="2"/>
      <c r="Y3" s="2"/>
      <c r="Z3" s="2"/>
    </row>
    <row r="4" spans="1:26" ht="14.25" customHeight="1" x14ac:dyDescent="0.25">
      <c r="A4" s="54"/>
      <c r="B4" s="4" t="s">
        <v>17</v>
      </c>
      <c r="C4" s="5">
        <v>18977</v>
      </c>
      <c r="D4" s="54"/>
      <c r="E4" s="5">
        <v>17</v>
      </c>
      <c r="F4" s="54"/>
      <c r="G4" s="5">
        <v>13166</v>
      </c>
      <c r="H4" s="54"/>
      <c r="I4" s="5">
        <v>4680</v>
      </c>
      <c r="J4" s="54"/>
      <c r="K4" s="2"/>
      <c r="L4" s="2"/>
      <c r="M4" s="2"/>
      <c r="N4" s="2"/>
      <c r="O4" s="2"/>
      <c r="P4" s="2"/>
      <c r="Q4" s="2"/>
      <c r="R4" s="2"/>
      <c r="S4" s="2"/>
      <c r="T4" s="2"/>
      <c r="U4" s="2"/>
      <c r="V4" s="2"/>
      <c r="W4" s="2"/>
      <c r="X4" s="2"/>
      <c r="Y4" s="2"/>
      <c r="Z4" s="2"/>
    </row>
    <row r="5" spans="1:26" ht="14.25" customHeight="1" x14ac:dyDescent="0.25">
      <c r="A5" s="55"/>
      <c r="B5" s="4" t="s">
        <v>18</v>
      </c>
      <c r="C5" s="5">
        <v>17748</v>
      </c>
      <c r="D5" s="55"/>
      <c r="E5" s="5">
        <v>16</v>
      </c>
      <c r="F5" s="55"/>
      <c r="G5" s="5">
        <v>12134</v>
      </c>
      <c r="H5" s="55"/>
      <c r="I5" s="5">
        <v>4366</v>
      </c>
      <c r="J5" s="55"/>
      <c r="K5" s="2"/>
      <c r="L5" s="2"/>
      <c r="M5" s="2"/>
      <c r="N5" s="2"/>
      <c r="O5" s="2"/>
      <c r="P5" s="2"/>
      <c r="Q5" s="2"/>
      <c r="R5" s="2"/>
      <c r="S5" s="2"/>
      <c r="T5" s="2"/>
      <c r="U5" s="2"/>
      <c r="V5" s="2"/>
      <c r="W5" s="2"/>
      <c r="X5" s="2"/>
      <c r="Y5" s="2"/>
      <c r="Z5" s="2"/>
    </row>
    <row r="6" spans="1:26" ht="14.25" customHeight="1" x14ac:dyDescent="0.25">
      <c r="A6" s="59" t="s">
        <v>8</v>
      </c>
      <c r="B6" s="4" t="s">
        <v>19</v>
      </c>
      <c r="C6" s="5">
        <v>19284</v>
      </c>
      <c r="D6" s="53">
        <v>14849</v>
      </c>
      <c r="E6" s="5">
        <v>16</v>
      </c>
      <c r="F6" s="53">
        <v>12</v>
      </c>
      <c r="G6" s="5">
        <v>12691</v>
      </c>
      <c r="H6" s="53">
        <v>9810</v>
      </c>
      <c r="I6" s="5">
        <v>4866</v>
      </c>
      <c r="J6" s="53">
        <v>3966</v>
      </c>
      <c r="K6" s="2"/>
      <c r="L6" s="2"/>
      <c r="M6" s="2"/>
      <c r="N6" s="2"/>
      <c r="O6" s="2"/>
      <c r="P6" s="2"/>
      <c r="Q6" s="2"/>
      <c r="R6" s="2"/>
      <c r="S6" s="2"/>
      <c r="T6" s="2"/>
      <c r="U6" s="2"/>
      <c r="V6" s="2"/>
      <c r="W6" s="2"/>
      <c r="X6" s="2"/>
      <c r="Y6" s="2"/>
      <c r="Z6" s="2"/>
    </row>
    <row r="7" spans="1:26" ht="14.25" customHeight="1" x14ac:dyDescent="0.25">
      <c r="A7" s="54"/>
      <c r="B7" s="4" t="s">
        <v>20</v>
      </c>
      <c r="C7" s="5">
        <v>14761</v>
      </c>
      <c r="D7" s="54"/>
      <c r="E7" s="5">
        <v>12</v>
      </c>
      <c r="F7" s="54"/>
      <c r="G7" s="5">
        <v>9611</v>
      </c>
      <c r="H7" s="54"/>
      <c r="I7" s="5">
        <v>3889</v>
      </c>
      <c r="J7" s="54"/>
      <c r="K7" s="2"/>
      <c r="L7" s="2"/>
      <c r="M7" s="2"/>
      <c r="N7" s="2"/>
      <c r="O7" s="2"/>
      <c r="P7" s="2"/>
      <c r="Q7" s="2"/>
      <c r="R7" s="2"/>
      <c r="S7" s="2"/>
      <c r="T7" s="2"/>
      <c r="U7" s="2"/>
      <c r="V7" s="2"/>
      <c r="W7" s="2"/>
      <c r="X7" s="2"/>
      <c r="Y7" s="2"/>
      <c r="Z7" s="2"/>
    </row>
    <row r="8" spans="1:26" ht="14.25" customHeight="1" x14ac:dyDescent="0.25">
      <c r="A8" s="55"/>
      <c r="B8" s="4" t="s">
        <v>21</v>
      </c>
      <c r="C8" s="5">
        <v>10503</v>
      </c>
      <c r="D8" s="55"/>
      <c r="E8" s="5">
        <v>8.6999999999999993</v>
      </c>
      <c r="F8" s="55"/>
      <c r="G8" s="5">
        <v>7130</v>
      </c>
      <c r="H8" s="55"/>
      <c r="I8" s="5">
        <v>3144</v>
      </c>
      <c r="J8" s="55"/>
      <c r="K8" s="2"/>
      <c r="L8" s="2"/>
      <c r="M8" s="2"/>
      <c r="N8" s="2"/>
      <c r="O8" s="2"/>
      <c r="P8" s="2"/>
      <c r="Q8" s="2"/>
      <c r="R8" s="2"/>
      <c r="S8" s="2"/>
      <c r="T8" s="2"/>
      <c r="U8" s="2"/>
      <c r="V8" s="2"/>
      <c r="W8" s="2"/>
      <c r="X8" s="2"/>
      <c r="Y8" s="2"/>
      <c r="Z8" s="2"/>
    </row>
    <row r="9" spans="1:26" ht="14.25" customHeight="1" x14ac:dyDescent="0.25">
      <c r="A9" s="59" t="s">
        <v>9</v>
      </c>
      <c r="B9" s="4" t="s">
        <v>22</v>
      </c>
      <c r="C9" s="5">
        <v>27497</v>
      </c>
      <c r="D9" s="53">
        <v>25755</v>
      </c>
      <c r="E9" s="5">
        <v>22</v>
      </c>
      <c r="F9" s="53">
        <v>21</v>
      </c>
      <c r="G9" s="5">
        <v>16859</v>
      </c>
      <c r="H9" s="53">
        <v>17209</v>
      </c>
      <c r="I9" s="5">
        <v>5601</v>
      </c>
      <c r="J9" s="53">
        <v>5728</v>
      </c>
      <c r="K9" s="2"/>
      <c r="L9" s="2"/>
      <c r="M9" s="2"/>
      <c r="N9" s="2"/>
      <c r="O9" s="2"/>
      <c r="P9" s="2"/>
      <c r="Q9" s="2"/>
      <c r="R9" s="2"/>
      <c r="S9" s="2"/>
      <c r="T9" s="2"/>
      <c r="U9" s="2"/>
      <c r="V9" s="2"/>
      <c r="W9" s="2"/>
      <c r="X9" s="2"/>
      <c r="Y9" s="2"/>
      <c r="Z9" s="2"/>
    </row>
    <row r="10" spans="1:26" ht="14.25" customHeight="1" x14ac:dyDescent="0.25">
      <c r="A10" s="54"/>
      <c r="B10" s="4" t="s">
        <v>23</v>
      </c>
      <c r="C10" s="5">
        <v>27492</v>
      </c>
      <c r="D10" s="54"/>
      <c r="E10" s="5">
        <v>24</v>
      </c>
      <c r="F10" s="54"/>
      <c r="G10" s="5">
        <v>18740</v>
      </c>
      <c r="H10" s="54"/>
      <c r="I10" s="5">
        <v>6034</v>
      </c>
      <c r="J10" s="54"/>
      <c r="K10" s="2"/>
      <c r="L10" s="2"/>
      <c r="M10" s="2"/>
      <c r="N10" s="2"/>
      <c r="O10" s="2"/>
      <c r="P10" s="2"/>
      <c r="Q10" s="2"/>
      <c r="R10" s="2"/>
      <c r="S10" s="2"/>
      <c r="T10" s="2"/>
      <c r="U10" s="2"/>
      <c r="V10" s="2"/>
      <c r="W10" s="2"/>
      <c r="X10" s="2"/>
      <c r="Y10" s="2"/>
      <c r="Z10" s="2"/>
    </row>
    <row r="11" spans="1:26" ht="14.25" customHeight="1" x14ac:dyDescent="0.25">
      <c r="A11" s="55"/>
      <c r="B11" s="4" t="s">
        <v>24</v>
      </c>
      <c r="C11" s="5">
        <v>22276</v>
      </c>
      <c r="D11" s="55"/>
      <c r="E11" s="5">
        <v>19</v>
      </c>
      <c r="F11" s="55"/>
      <c r="G11" s="5">
        <v>16030</v>
      </c>
      <c r="H11" s="55"/>
      <c r="I11" s="5">
        <v>5551</v>
      </c>
      <c r="J11" s="55"/>
      <c r="K11" s="2"/>
      <c r="L11" s="2"/>
      <c r="M11" s="2"/>
      <c r="N11" s="2"/>
      <c r="O11" s="2"/>
      <c r="P11" s="2"/>
      <c r="Q11" s="2"/>
      <c r="R11" s="2"/>
      <c r="S11" s="2"/>
      <c r="T11" s="2"/>
      <c r="U11" s="2"/>
      <c r="V11" s="2"/>
      <c r="W11" s="2"/>
      <c r="X11" s="2"/>
      <c r="Y11" s="2"/>
      <c r="Z11" s="2"/>
    </row>
    <row r="12" spans="1:26" ht="14.25" customHeight="1" x14ac:dyDescent="0.25">
      <c r="A12" s="59" t="s">
        <v>10</v>
      </c>
      <c r="B12" s="4" t="s">
        <v>25</v>
      </c>
      <c r="C12" s="5">
        <v>18834</v>
      </c>
      <c r="D12" s="53">
        <v>15425</v>
      </c>
      <c r="E12" s="5">
        <v>15</v>
      </c>
      <c r="F12" s="53">
        <v>12</v>
      </c>
      <c r="G12" s="5">
        <v>11456</v>
      </c>
      <c r="H12" s="53">
        <v>9416</v>
      </c>
      <c r="I12" s="5">
        <v>4403</v>
      </c>
      <c r="J12" s="53">
        <v>3795</v>
      </c>
      <c r="K12" s="2"/>
      <c r="L12" s="2"/>
      <c r="M12" s="2"/>
      <c r="N12" s="2"/>
      <c r="O12" s="2"/>
      <c r="P12" s="2"/>
      <c r="Q12" s="2"/>
      <c r="R12" s="2"/>
      <c r="S12" s="2"/>
      <c r="T12" s="2"/>
      <c r="U12" s="2"/>
      <c r="V12" s="2"/>
      <c r="W12" s="2"/>
      <c r="X12" s="2"/>
      <c r="Y12" s="2"/>
      <c r="Z12" s="2"/>
    </row>
    <row r="13" spans="1:26" ht="14.25" customHeight="1" x14ac:dyDescent="0.25">
      <c r="A13" s="54"/>
      <c r="B13" s="4" t="s">
        <v>26</v>
      </c>
      <c r="C13" s="5">
        <v>13049</v>
      </c>
      <c r="D13" s="54"/>
      <c r="E13" s="5">
        <v>11</v>
      </c>
      <c r="F13" s="54"/>
      <c r="G13" s="5">
        <v>8085</v>
      </c>
      <c r="H13" s="54"/>
      <c r="I13" s="5">
        <v>3293</v>
      </c>
      <c r="J13" s="54"/>
      <c r="K13" s="2"/>
      <c r="L13" s="2"/>
      <c r="M13" s="2"/>
      <c r="N13" s="2"/>
      <c r="O13" s="2"/>
      <c r="P13" s="2"/>
      <c r="Q13" s="2"/>
      <c r="R13" s="2"/>
      <c r="S13" s="2"/>
      <c r="T13" s="2"/>
      <c r="U13" s="2"/>
      <c r="V13" s="2"/>
      <c r="W13" s="2"/>
      <c r="X13" s="2"/>
      <c r="Y13" s="2"/>
      <c r="Z13" s="2"/>
    </row>
    <row r="14" spans="1:26" ht="14.25" customHeight="1" x14ac:dyDescent="0.25">
      <c r="A14" s="55"/>
      <c r="B14" s="4" t="s">
        <v>27</v>
      </c>
      <c r="C14" s="5">
        <v>14394</v>
      </c>
      <c r="D14" s="55"/>
      <c r="E14" s="5">
        <v>12</v>
      </c>
      <c r="F14" s="55"/>
      <c r="G14" s="5">
        <v>8708</v>
      </c>
      <c r="H14" s="55"/>
      <c r="I14" s="5">
        <v>3690</v>
      </c>
      <c r="J14" s="55"/>
      <c r="K14" s="2"/>
      <c r="L14" s="2"/>
      <c r="M14" s="2"/>
      <c r="N14" s="2"/>
      <c r="O14" s="2"/>
      <c r="P14" s="2"/>
      <c r="Q14" s="2"/>
      <c r="R14" s="2"/>
      <c r="S14" s="2"/>
      <c r="T14" s="2"/>
      <c r="U14" s="2"/>
      <c r="V14" s="2"/>
      <c r="W14" s="2"/>
      <c r="X14" s="2"/>
      <c r="Y14" s="2"/>
      <c r="Z14" s="2"/>
    </row>
    <row r="15" spans="1:26" ht="14.25" customHeight="1" x14ac:dyDescent="0.25">
      <c r="A15" s="59" t="s">
        <v>11</v>
      </c>
      <c r="B15" s="4" t="s">
        <v>28</v>
      </c>
      <c r="C15" s="5">
        <v>17754</v>
      </c>
      <c r="D15" s="53">
        <v>16929</v>
      </c>
      <c r="E15" s="5">
        <v>16</v>
      </c>
      <c r="F15" s="53">
        <v>15</v>
      </c>
      <c r="G15" s="5">
        <v>10460</v>
      </c>
      <c r="H15" s="53">
        <v>9894</v>
      </c>
      <c r="I15" s="5">
        <v>4212</v>
      </c>
      <c r="J15" s="53">
        <v>3994</v>
      </c>
      <c r="K15" s="2"/>
      <c r="L15" s="2"/>
      <c r="M15" s="2"/>
      <c r="N15" s="2"/>
      <c r="O15" s="2"/>
      <c r="P15" s="2"/>
      <c r="Q15" s="2"/>
      <c r="R15" s="2"/>
      <c r="S15" s="2"/>
      <c r="T15" s="2"/>
      <c r="U15" s="2"/>
      <c r="V15" s="2"/>
      <c r="W15" s="2"/>
      <c r="X15" s="2"/>
      <c r="Y15" s="2"/>
      <c r="Z15" s="2"/>
    </row>
    <row r="16" spans="1:26" ht="14.25" customHeight="1" x14ac:dyDescent="0.25">
      <c r="A16" s="54"/>
      <c r="B16" s="4" t="s">
        <v>29</v>
      </c>
      <c r="C16" s="5">
        <v>16689</v>
      </c>
      <c r="D16" s="54"/>
      <c r="E16" s="5">
        <v>15</v>
      </c>
      <c r="F16" s="54"/>
      <c r="G16" s="5">
        <v>9725</v>
      </c>
      <c r="H16" s="54"/>
      <c r="I16" s="5">
        <v>3950</v>
      </c>
      <c r="J16" s="54"/>
      <c r="K16" s="2"/>
      <c r="L16" s="2"/>
      <c r="M16" s="2"/>
      <c r="N16" s="2"/>
      <c r="O16" s="2"/>
      <c r="P16" s="2"/>
      <c r="Q16" s="2"/>
      <c r="R16" s="2"/>
      <c r="S16" s="2"/>
      <c r="T16" s="2"/>
      <c r="U16" s="2"/>
      <c r="V16" s="2"/>
      <c r="W16" s="2"/>
      <c r="X16" s="2"/>
      <c r="Y16" s="2"/>
      <c r="Z16" s="2"/>
    </row>
    <row r="17" spans="1:26" ht="14.25" customHeight="1" x14ac:dyDescent="0.25">
      <c r="A17" s="55"/>
      <c r="B17" s="4" t="s">
        <v>30</v>
      </c>
      <c r="C17" s="5">
        <v>16345</v>
      </c>
      <c r="D17" s="55"/>
      <c r="E17" s="5">
        <v>14</v>
      </c>
      <c r="F17" s="55"/>
      <c r="G17" s="5">
        <v>9497</v>
      </c>
      <c r="H17" s="55"/>
      <c r="I17" s="5">
        <v>3822</v>
      </c>
      <c r="J17" s="55"/>
      <c r="K17" s="2"/>
      <c r="L17" s="2"/>
      <c r="M17" s="2"/>
      <c r="N17" s="2"/>
      <c r="O17" s="2"/>
      <c r="P17" s="2"/>
      <c r="Q17" s="2"/>
      <c r="R17" s="2"/>
      <c r="S17" s="2"/>
      <c r="T17" s="2"/>
      <c r="U17" s="2"/>
      <c r="V17" s="2"/>
      <c r="W17" s="2"/>
      <c r="X17" s="2"/>
      <c r="Y17" s="2"/>
      <c r="Z17" s="2"/>
    </row>
    <row r="18" spans="1:26" ht="14.25" customHeight="1" x14ac:dyDescent="0.25">
      <c r="A18" s="59" t="s">
        <v>12</v>
      </c>
      <c r="B18" s="4" t="s">
        <v>31</v>
      </c>
      <c r="C18" s="5">
        <v>13235</v>
      </c>
      <c r="D18" s="53">
        <v>19635</v>
      </c>
      <c r="E18" s="5">
        <v>11</v>
      </c>
      <c r="F18" s="53">
        <v>16</v>
      </c>
      <c r="G18" s="5">
        <v>8937</v>
      </c>
      <c r="H18" s="53">
        <v>11638</v>
      </c>
      <c r="I18" s="5">
        <v>3926</v>
      </c>
      <c r="J18" s="53">
        <v>4709</v>
      </c>
      <c r="K18" s="2"/>
      <c r="L18" s="2"/>
      <c r="M18" s="2"/>
      <c r="N18" s="2"/>
      <c r="O18" s="2"/>
      <c r="P18" s="2"/>
      <c r="Q18" s="2"/>
      <c r="R18" s="2"/>
      <c r="S18" s="2"/>
      <c r="T18" s="2"/>
      <c r="U18" s="2"/>
      <c r="V18" s="2"/>
      <c r="W18" s="2"/>
      <c r="X18" s="2"/>
      <c r="Y18" s="2"/>
      <c r="Z18" s="2"/>
    </row>
    <row r="19" spans="1:26" ht="14.25" customHeight="1" x14ac:dyDescent="0.25">
      <c r="A19" s="54"/>
      <c r="B19" s="4" t="s">
        <v>32</v>
      </c>
      <c r="C19" s="5">
        <v>23329</v>
      </c>
      <c r="D19" s="54"/>
      <c r="E19" s="5">
        <v>19</v>
      </c>
      <c r="F19" s="54"/>
      <c r="G19" s="5">
        <v>13275</v>
      </c>
      <c r="H19" s="54"/>
      <c r="I19" s="5">
        <v>5207</v>
      </c>
      <c r="J19" s="54"/>
      <c r="K19" s="2"/>
      <c r="L19" s="2"/>
      <c r="M19" s="2"/>
      <c r="N19" s="2"/>
      <c r="O19" s="2"/>
      <c r="P19" s="2"/>
      <c r="Q19" s="2"/>
      <c r="R19" s="2"/>
      <c r="S19" s="2"/>
      <c r="T19" s="2"/>
      <c r="U19" s="2"/>
      <c r="V19" s="2"/>
      <c r="W19" s="2"/>
      <c r="X19" s="2"/>
      <c r="Y19" s="2"/>
      <c r="Z19" s="2"/>
    </row>
    <row r="20" spans="1:26" ht="14.25" customHeight="1" x14ac:dyDescent="0.25">
      <c r="A20" s="55"/>
      <c r="B20" s="4" t="s">
        <v>33</v>
      </c>
      <c r="C20" s="5">
        <v>22341</v>
      </c>
      <c r="D20" s="55"/>
      <c r="E20" s="5">
        <v>19</v>
      </c>
      <c r="F20" s="55"/>
      <c r="G20" s="5">
        <v>12703</v>
      </c>
      <c r="H20" s="55"/>
      <c r="I20" s="5">
        <v>4996</v>
      </c>
      <c r="J20" s="55"/>
      <c r="K20" s="2"/>
      <c r="L20" s="2"/>
      <c r="M20" s="2"/>
      <c r="N20" s="2"/>
      <c r="O20" s="2"/>
      <c r="P20" s="2"/>
      <c r="Q20" s="2"/>
      <c r="R20" s="2"/>
      <c r="S20" s="2"/>
      <c r="T20" s="2"/>
      <c r="U20" s="2"/>
      <c r="V20" s="2"/>
      <c r="W20" s="2"/>
      <c r="X20" s="2"/>
      <c r="Y20" s="2"/>
      <c r="Z20" s="2"/>
    </row>
    <row r="21" spans="1:26" ht="14.25" customHeight="1" x14ac:dyDescent="0.25">
      <c r="A21" s="4" t="s">
        <v>13</v>
      </c>
      <c r="B21" s="6"/>
      <c r="C21" s="56">
        <v>326429</v>
      </c>
      <c r="D21" s="57"/>
      <c r="E21" s="56" t="s">
        <v>14</v>
      </c>
      <c r="F21" s="57"/>
      <c r="G21" s="56">
        <v>39554</v>
      </c>
      <c r="H21" s="57"/>
      <c r="I21" s="56">
        <v>10938</v>
      </c>
      <c r="J21" s="57"/>
      <c r="K21" s="2"/>
      <c r="L21" s="2"/>
      <c r="M21" s="2"/>
      <c r="N21" s="2"/>
      <c r="O21" s="2"/>
      <c r="P21" s="2"/>
      <c r="Q21" s="2"/>
      <c r="R21" s="2"/>
      <c r="S21" s="2"/>
      <c r="T21" s="2"/>
      <c r="U21" s="2"/>
      <c r="V21" s="2"/>
      <c r="W21" s="2"/>
      <c r="X21" s="2"/>
      <c r="Y21" s="2"/>
      <c r="Z21" s="2"/>
    </row>
    <row r="22" spans="1:26" ht="14.2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8">
    <mergeCell ref="J6:J8"/>
    <mergeCell ref="F6:F8"/>
    <mergeCell ref="H6:H8"/>
    <mergeCell ref="F9:F11"/>
    <mergeCell ref="H9:H11"/>
    <mergeCell ref="J9:J11"/>
    <mergeCell ref="D12:D14"/>
    <mergeCell ref="D15:D17"/>
    <mergeCell ref="D18:D20"/>
    <mergeCell ref="C21:D21"/>
    <mergeCell ref="A6:A8"/>
    <mergeCell ref="A9:A11"/>
    <mergeCell ref="A12:A14"/>
    <mergeCell ref="A15:A17"/>
    <mergeCell ref="A18:A20"/>
    <mergeCell ref="D6:D8"/>
    <mergeCell ref="D9:D11"/>
    <mergeCell ref="C2:D2"/>
    <mergeCell ref="E2:F2"/>
    <mergeCell ref="G2:H2"/>
    <mergeCell ref="I2:J2"/>
    <mergeCell ref="A3:A5"/>
    <mergeCell ref="F3:F5"/>
    <mergeCell ref="H3:H5"/>
    <mergeCell ref="J3:J5"/>
    <mergeCell ref="D3:D5"/>
    <mergeCell ref="H12:H14"/>
    <mergeCell ref="J12:J14"/>
    <mergeCell ref="E21:F21"/>
    <mergeCell ref="G21:H21"/>
    <mergeCell ref="I21:J21"/>
    <mergeCell ref="F12:F14"/>
    <mergeCell ref="F15:F17"/>
    <mergeCell ref="H15:H17"/>
    <mergeCell ref="J15:J17"/>
    <mergeCell ref="F18:F20"/>
    <mergeCell ref="H18:H20"/>
    <mergeCell ref="J18:J20"/>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0"/>
  <sheetViews>
    <sheetView workbookViewId="0"/>
  </sheetViews>
  <sheetFormatPr baseColWidth="10" defaultColWidth="12.625" defaultRowHeight="15" customHeight="1" x14ac:dyDescent="0.2"/>
  <cols>
    <col min="1" max="1" width="46.125" customWidth="1"/>
    <col min="2" max="26" width="10.625" customWidth="1"/>
  </cols>
  <sheetData>
    <row r="1" spans="1:19" ht="14.25" customHeight="1" x14ac:dyDescent="0.25">
      <c r="A1" s="7" t="s">
        <v>831</v>
      </c>
    </row>
    <row r="2" spans="1:19" ht="14.25" customHeight="1" x14ac:dyDescent="0.2">
      <c r="A2" s="8" t="s">
        <v>15</v>
      </c>
      <c r="B2" s="9" t="s">
        <v>16</v>
      </c>
      <c r="C2" s="9" t="s">
        <v>17</v>
      </c>
      <c r="D2" s="9" t="s">
        <v>18</v>
      </c>
      <c r="E2" s="9" t="s">
        <v>19</v>
      </c>
      <c r="F2" s="9" t="s">
        <v>20</v>
      </c>
      <c r="G2" s="9" t="s">
        <v>21</v>
      </c>
      <c r="H2" s="9" t="s">
        <v>22</v>
      </c>
      <c r="I2" s="9" t="s">
        <v>23</v>
      </c>
      <c r="J2" s="9" t="s">
        <v>24</v>
      </c>
      <c r="K2" s="9" t="s">
        <v>25</v>
      </c>
      <c r="L2" s="9" t="s">
        <v>26</v>
      </c>
      <c r="M2" s="9" t="s">
        <v>27</v>
      </c>
      <c r="N2" s="9" t="s">
        <v>28</v>
      </c>
      <c r="O2" s="9" t="s">
        <v>29</v>
      </c>
      <c r="P2" s="9" t="s">
        <v>30</v>
      </c>
      <c r="Q2" s="9" t="s">
        <v>31</v>
      </c>
      <c r="R2" s="9" t="s">
        <v>32</v>
      </c>
      <c r="S2" s="10" t="s">
        <v>33</v>
      </c>
    </row>
    <row r="3" spans="1:19" ht="14.25" customHeight="1" x14ac:dyDescent="0.25">
      <c r="A3" s="11" t="s">
        <v>34</v>
      </c>
      <c r="B3" s="11">
        <v>20142200440</v>
      </c>
      <c r="C3" s="11">
        <v>23557194700</v>
      </c>
      <c r="D3" s="11">
        <v>26385868430</v>
      </c>
      <c r="E3" s="11">
        <v>27505023890</v>
      </c>
      <c r="F3" s="11">
        <v>26011486940</v>
      </c>
      <c r="G3" s="11">
        <v>24061426800</v>
      </c>
      <c r="H3" s="11">
        <v>35668418300</v>
      </c>
      <c r="I3" s="11">
        <v>39131427140</v>
      </c>
      <c r="J3" s="11">
        <v>40460099080</v>
      </c>
      <c r="K3" s="11">
        <v>28406205900</v>
      </c>
      <c r="L3" s="11">
        <v>21681596500</v>
      </c>
      <c r="M3" s="11">
        <v>26659646860</v>
      </c>
      <c r="N3" s="11">
        <v>27268171980</v>
      </c>
      <c r="O3" s="11">
        <v>29304774300</v>
      </c>
      <c r="P3" s="11">
        <v>20241710990</v>
      </c>
      <c r="Q3" s="11">
        <v>40498527700</v>
      </c>
      <c r="R3" s="11">
        <v>39239168080</v>
      </c>
      <c r="S3" s="11">
        <v>37472863000</v>
      </c>
    </row>
    <row r="4" spans="1:19" ht="14.25" customHeight="1" x14ac:dyDescent="0.25">
      <c r="A4" s="11" t="s">
        <v>35</v>
      </c>
      <c r="B4" s="11">
        <v>70362580270</v>
      </c>
      <c r="C4" s="11">
        <v>90857596440</v>
      </c>
      <c r="D4" s="11">
        <v>89173481650</v>
      </c>
      <c r="E4" s="11">
        <v>90665068370</v>
      </c>
      <c r="F4" s="11">
        <v>85546054560</v>
      </c>
      <c r="G4" s="11">
        <v>75573286770</v>
      </c>
      <c r="H4" s="11">
        <v>150723693860</v>
      </c>
      <c r="I4" s="11">
        <v>143203381890</v>
      </c>
      <c r="J4" s="11">
        <v>136964233130</v>
      </c>
      <c r="K4" s="11">
        <v>83183537050</v>
      </c>
      <c r="L4" s="11">
        <v>72436191230</v>
      </c>
      <c r="M4" s="11">
        <v>90205943830</v>
      </c>
      <c r="N4" s="11">
        <v>92744129550</v>
      </c>
      <c r="O4" s="11">
        <v>80157075020</v>
      </c>
      <c r="P4" s="11">
        <v>88555142430</v>
      </c>
      <c r="Q4" s="11">
        <v>132849555120</v>
      </c>
      <c r="R4" s="11">
        <v>131891588900</v>
      </c>
      <c r="S4" s="11">
        <v>127700185950</v>
      </c>
    </row>
    <row r="5" spans="1:19" ht="14.25" customHeight="1" x14ac:dyDescent="0.25">
      <c r="A5" s="11" t="s">
        <v>36</v>
      </c>
      <c r="B5" s="11">
        <v>5244917790</v>
      </c>
      <c r="C5" s="11">
        <v>6442044500</v>
      </c>
      <c r="D5" s="11">
        <v>6247646700</v>
      </c>
      <c r="E5" s="11">
        <v>5576154700</v>
      </c>
      <c r="F5" s="11">
        <v>6382530100</v>
      </c>
      <c r="G5" s="11">
        <v>5733980820</v>
      </c>
      <c r="H5" s="11">
        <v>4856622100</v>
      </c>
      <c r="I5" s="11">
        <v>5670662260</v>
      </c>
      <c r="J5" s="11">
        <v>4532771380</v>
      </c>
      <c r="K5" s="11">
        <v>5535761200</v>
      </c>
      <c r="L5" s="11">
        <v>5613127100</v>
      </c>
      <c r="M5" s="11">
        <v>5920950600</v>
      </c>
      <c r="N5" s="11">
        <v>5487386100</v>
      </c>
      <c r="O5" s="11">
        <v>5868807300</v>
      </c>
      <c r="P5" s="11">
        <v>5699573800</v>
      </c>
      <c r="Q5" s="11">
        <v>3643307300</v>
      </c>
      <c r="R5" s="11">
        <v>3749425600</v>
      </c>
      <c r="S5" s="11">
        <v>3756644000</v>
      </c>
    </row>
    <row r="6" spans="1:19" ht="14.25" customHeight="1" x14ac:dyDescent="0.25">
      <c r="A6" s="11" t="s">
        <v>37</v>
      </c>
      <c r="B6" s="11">
        <v>1658434400</v>
      </c>
      <c r="C6" s="11">
        <v>1679394000</v>
      </c>
      <c r="D6" s="11">
        <v>1401596400</v>
      </c>
      <c r="E6" s="11">
        <v>1561625400</v>
      </c>
      <c r="F6" s="11">
        <v>1130832300</v>
      </c>
      <c r="G6" s="11">
        <v>1148750800</v>
      </c>
      <c r="H6" s="11">
        <v>1402517400</v>
      </c>
      <c r="I6" s="11">
        <v>1178050800</v>
      </c>
      <c r="J6" s="11">
        <v>675117000</v>
      </c>
      <c r="K6" s="11">
        <v>1702164200</v>
      </c>
      <c r="L6" s="11">
        <v>1352014000</v>
      </c>
      <c r="M6" s="11">
        <v>1165311400</v>
      </c>
      <c r="N6" s="11">
        <v>1281804100</v>
      </c>
      <c r="O6" s="11">
        <v>1271935000</v>
      </c>
      <c r="P6" s="11">
        <v>1338669000</v>
      </c>
      <c r="Q6" s="11">
        <v>707094000</v>
      </c>
      <c r="R6" s="11">
        <v>877505900</v>
      </c>
      <c r="S6" s="11">
        <v>824826800</v>
      </c>
    </row>
    <row r="7" spans="1:19" ht="14.25" customHeight="1" x14ac:dyDescent="0.25">
      <c r="A7" s="11" t="s">
        <v>38</v>
      </c>
      <c r="B7" s="11">
        <v>8531918600</v>
      </c>
      <c r="C7" s="11">
        <v>10680345900</v>
      </c>
      <c r="D7" s="11">
        <v>12380801240</v>
      </c>
      <c r="E7" s="11">
        <v>10002251200</v>
      </c>
      <c r="F7" s="11">
        <v>10800259800</v>
      </c>
      <c r="G7" s="11">
        <v>10808580000</v>
      </c>
      <c r="H7" s="11">
        <v>8736534200</v>
      </c>
      <c r="I7" s="11">
        <v>8104442800</v>
      </c>
      <c r="J7" s="11">
        <v>7688107400</v>
      </c>
      <c r="K7" s="11">
        <v>9776031400</v>
      </c>
      <c r="L7" s="11">
        <v>8376265800</v>
      </c>
      <c r="M7" s="11">
        <v>10587319530</v>
      </c>
      <c r="N7" s="11">
        <v>9316360870</v>
      </c>
      <c r="O7" s="11">
        <v>9686477400</v>
      </c>
      <c r="P7" s="11">
        <v>9148994900</v>
      </c>
      <c r="Q7" s="11">
        <v>6014669320</v>
      </c>
      <c r="R7" s="11">
        <v>6136237750</v>
      </c>
      <c r="S7" s="11">
        <v>6986486700</v>
      </c>
    </row>
    <row r="8" spans="1:19" ht="14.25" customHeight="1" x14ac:dyDescent="0.25">
      <c r="A8" s="11" t="s">
        <v>39</v>
      </c>
      <c r="B8" s="11">
        <v>45671000</v>
      </c>
      <c r="C8" s="11">
        <v>41369000</v>
      </c>
      <c r="D8" s="11">
        <v>0</v>
      </c>
      <c r="E8" s="11">
        <v>188667000</v>
      </c>
      <c r="F8" s="11">
        <v>71429000</v>
      </c>
      <c r="G8" s="11">
        <v>0</v>
      </c>
      <c r="H8" s="11">
        <v>0</v>
      </c>
      <c r="I8" s="11">
        <v>35678000</v>
      </c>
      <c r="J8" s="11">
        <v>19710000</v>
      </c>
      <c r="K8" s="11">
        <v>35625000</v>
      </c>
      <c r="L8" s="11">
        <v>23608000</v>
      </c>
      <c r="M8" s="11">
        <v>11444000</v>
      </c>
      <c r="N8" s="11">
        <v>34533000</v>
      </c>
      <c r="O8" s="11">
        <v>0</v>
      </c>
      <c r="P8" s="11">
        <v>29544000</v>
      </c>
      <c r="Q8" s="11">
        <v>24683000</v>
      </c>
      <c r="R8" s="11">
        <v>19065000</v>
      </c>
      <c r="S8" s="11">
        <v>32681000</v>
      </c>
    </row>
    <row r="9" spans="1:19" ht="14.25" customHeight="1" x14ac:dyDescent="0.25">
      <c r="A9" s="11" t="s">
        <v>40</v>
      </c>
      <c r="B9" s="11">
        <v>5246858880</v>
      </c>
      <c r="C9" s="11">
        <v>7387083140</v>
      </c>
      <c r="D9" s="11">
        <v>7424290000</v>
      </c>
      <c r="E9" s="11">
        <v>6741093700</v>
      </c>
      <c r="F9" s="11">
        <v>6091159200</v>
      </c>
      <c r="G9" s="11">
        <v>5644053100</v>
      </c>
      <c r="H9" s="11">
        <v>8296175000</v>
      </c>
      <c r="I9" s="11">
        <v>10866440300</v>
      </c>
      <c r="J9" s="11">
        <v>10782728100</v>
      </c>
      <c r="K9" s="11">
        <v>5280649200</v>
      </c>
      <c r="L9" s="11">
        <v>4944897100</v>
      </c>
      <c r="M9" s="11">
        <v>5990685500</v>
      </c>
      <c r="N9" s="11">
        <v>5352413300</v>
      </c>
      <c r="O9" s="11">
        <v>5182554700</v>
      </c>
      <c r="P9" s="11">
        <v>5040073300</v>
      </c>
      <c r="Q9" s="11">
        <v>9192813300</v>
      </c>
      <c r="R9" s="11">
        <v>8573015230</v>
      </c>
      <c r="S9" s="11">
        <v>8796704200</v>
      </c>
    </row>
    <row r="10" spans="1:19" ht="14.25" customHeight="1" x14ac:dyDescent="0.25">
      <c r="A10" s="11" t="s">
        <v>41</v>
      </c>
      <c r="B10" s="11">
        <v>11332000</v>
      </c>
      <c r="C10" s="11">
        <v>20462800</v>
      </c>
      <c r="D10" s="11">
        <v>9615200</v>
      </c>
      <c r="E10" s="11">
        <v>16820000</v>
      </c>
      <c r="F10" s="11">
        <v>8590900</v>
      </c>
      <c r="G10" s="11">
        <v>8950400</v>
      </c>
      <c r="H10" s="11">
        <v>33982000</v>
      </c>
      <c r="I10" s="11">
        <v>175133000</v>
      </c>
      <c r="J10" s="11">
        <v>59021000</v>
      </c>
      <c r="K10" s="11">
        <v>7315000</v>
      </c>
      <c r="L10" s="11">
        <v>6825100</v>
      </c>
      <c r="M10" s="11">
        <v>4937800</v>
      </c>
      <c r="N10" s="11">
        <v>6537500</v>
      </c>
      <c r="O10" s="11">
        <v>5905800</v>
      </c>
      <c r="P10" s="11">
        <v>5158900</v>
      </c>
      <c r="Q10" s="11">
        <v>37653000</v>
      </c>
      <c r="R10" s="11">
        <v>26387000</v>
      </c>
      <c r="S10" s="11">
        <v>23330800</v>
      </c>
    </row>
    <row r="11" spans="1:19" ht="14.25" customHeight="1" x14ac:dyDescent="0.25">
      <c r="A11" s="11" t="s">
        <v>42</v>
      </c>
      <c r="B11" s="11">
        <v>3168102800</v>
      </c>
      <c r="C11" s="11">
        <v>3635902000</v>
      </c>
      <c r="D11" s="11">
        <v>4455053530</v>
      </c>
      <c r="E11" s="11">
        <v>5863721600</v>
      </c>
      <c r="F11" s="11">
        <v>3896292900</v>
      </c>
      <c r="G11" s="11">
        <v>3339690500</v>
      </c>
      <c r="H11" s="11">
        <v>2539046290</v>
      </c>
      <c r="I11" s="11">
        <v>2452463900</v>
      </c>
      <c r="J11" s="11">
        <v>2313163500</v>
      </c>
      <c r="K11" s="11">
        <v>4068846330</v>
      </c>
      <c r="L11" s="11">
        <v>3456838300</v>
      </c>
      <c r="M11" s="11">
        <v>4222800900</v>
      </c>
      <c r="N11" s="11">
        <v>4190746700</v>
      </c>
      <c r="O11" s="11">
        <v>4551484860</v>
      </c>
      <c r="P11" s="11">
        <v>3718971780</v>
      </c>
      <c r="Q11" s="11">
        <v>1718419800</v>
      </c>
      <c r="R11" s="11">
        <v>2753687800</v>
      </c>
      <c r="S11" s="11">
        <v>2250625800</v>
      </c>
    </row>
    <row r="12" spans="1:19" ht="14.25" customHeight="1" x14ac:dyDescent="0.25">
      <c r="A12" s="11" t="s">
        <v>43</v>
      </c>
      <c r="B12" s="11">
        <v>46309288560</v>
      </c>
      <c r="C12" s="11">
        <v>53771083210</v>
      </c>
      <c r="D12" s="11">
        <v>49925006460</v>
      </c>
      <c r="E12" s="11">
        <v>50838125860</v>
      </c>
      <c r="F12" s="11">
        <v>43984386300</v>
      </c>
      <c r="G12" s="11">
        <v>44305984340</v>
      </c>
      <c r="H12" s="11">
        <v>74230280630</v>
      </c>
      <c r="I12" s="11">
        <v>83059196130</v>
      </c>
      <c r="J12" s="11">
        <v>74763468700</v>
      </c>
      <c r="K12" s="11">
        <v>42896064466</v>
      </c>
      <c r="L12" s="11">
        <v>43536805600</v>
      </c>
      <c r="M12" s="11">
        <v>47701736090</v>
      </c>
      <c r="N12" s="11">
        <v>46346234540</v>
      </c>
      <c r="O12" s="11">
        <v>45391767870</v>
      </c>
      <c r="P12" s="11">
        <v>43776389300</v>
      </c>
      <c r="Q12" s="11">
        <v>71499543340</v>
      </c>
      <c r="R12" s="11">
        <v>66531933700</v>
      </c>
      <c r="S12" s="11">
        <v>66525375800</v>
      </c>
    </row>
    <row r="13" spans="1:19" ht="14.25" customHeight="1" x14ac:dyDescent="0.25">
      <c r="A13" s="11" t="s">
        <v>44</v>
      </c>
      <c r="B13" s="11">
        <v>1066702000</v>
      </c>
      <c r="C13" s="11">
        <v>1584504300</v>
      </c>
      <c r="D13" s="11">
        <v>1127862700</v>
      </c>
      <c r="E13" s="11">
        <v>1944021500</v>
      </c>
      <c r="F13" s="11">
        <v>1777754000</v>
      </c>
      <c r="G13" s="11">
        <v>1732239800</v>
      </c>
      <c r="H13" s="11">
        <v>1123450500</v>
      </c>
      <c r="I13" s="11">
        <v>1973946200</v>
      </c>
      <c r="J13" s="11">
        <v>1066838000</v>
      </c>
      <c r="K13" s="11">
        <v>1637191000</v>
      </c>
      <c r="L13" s="11">
        <v>1506946000</v>
      </c>
      <c r="M13" s="11">
        <v>1419200900</v>
      </c>
      <c r="N13" s="11">
        <v>1585709000</v>
      </c>
      <c r="O13" s="11">
        <v>903550500</v>
      </c>
      <c r="P13" s="11">
        <v>1057943000</v>
      </c>
      <c r="Q13" s="11">
        <v>1529950000</v>
      </c>
      <c r="R13" s="11">
        <v>1308258000</v>
      </c>
      <c r="S13" s="11">
        <v>1345888000</v>
      </c>
    </row>
    <row r="14" spans="1:19" ht="14.25" customHeight="1" x14ac:dyDescent="0.25">
      <c r="A14" s="11" t="s">
        <v>45</v>
      </c>
      <c r="B14" s="11">
        <v>2565173900</v>
      </c>
      <c r="C14" s="11">
        <v>2987616500</v>
      </c>
      <c r="D14" s="11">
        <v>2977535600</v>
      </c>
      <c r="E14" s="11">
        <v>2918354800</v>
      </c>
      <c r="F14" s="11">
        <v>2873627000</v>
      </c>
      <c r="G14" s="11">
        <v>2136276600</v>
      </c>
      <c r="H14" s="11">
        <v>1879035600</v>
      </c>
      <c r="I14" s="11">
        <v>2574805090</v>
      </c>
      <c r="J14" s="11">
        <v>2223048800</v>
      </c>
      <c r="K14" s="11">
        <v>2694455300</v>
      </c>
      <c r="L14" s="11">
        <v>2067486900</v>
      </c>
      <c r="M14" s="11">
        <v>2784971800</v>
      </c>
      <c r="N14" s="11">
        <v>2532406400</v>
      </c>
      <c r="O14" s="11">
        <v>2678562300</v>
      </c>
      <c r="P14" s="11">
        <v>2535146800</v>
      </c>
      <c r="Q14" s="11">
        <v>1597959000</v>
      </c>
      <c r="R14" s="11">
        <v>1801895100</v>
      </c>
      <c r="S14" s="11">
        <v>1739160700</v>
      </c>
    </row>
    <row r="15" spans="1:19" ht="14.25" customHeight="1" x14ac:dyDescent="0.25">
      <c r="A15" s="11" t="s">
        <v>46</v>
      </c>
      <c r="B15" s="11">
        <v>13867872600</v>
      </c>
      <c r="C15" s="11">
        <v>16681281900</v>
      </c>
      <c r="D15" s="11">
        <v>15277611430</v>
      </c>
      <c r="E15" s="11">
        <v>16043719100</v>
      </c>
      <c r="F15" s="11">
        <v>14722250320</v>
      </c>
      <c r="G15" s="11">
        <v>12340561420</v>
      </c>
      <c r="H15" s="11">
        <v>14478771600</v>
      </c>
      <c r="I15" s="11">
        <v>16197762000</v>
      </c>
      <c r="J15" s="11">
        <v>13074993500</v>
      </c>
      <c r="K15" s="11">
        <v>14639931260</v>
      </c>
      <c r="L15" s="11">
        <v>13071128550</v>
      </c>
      <c r="M15" s="11">
        <v>15303682000</v>
      </c>
      <c r="N15" s="11">
        <v>14109724000</v>
      </c>
      <c r="O15" s="11">
        <v>13830422480</v>
      </c>
      <c r="P15" s="11">
        <v>14684367600</v>
      </c>
      <c r="Q15" s="11">
        <v>12700322700</v>
      </c>
      <c r="R15" s="11">
        <v>12991601130</v>
      </c>
      <c r="S15" s="11">
        <v>12688452800</v>
      </c>
    </row>
    <row r="16" spans="1:19" ht="14.25" customHeight="1" x14ac:dyDescent="0.25">
      <c r="A16" s="11" t="s">
        <v>47</v>
      </c>
      <c r="B16" s="11">
        <v>6579448440</v>
      </c>
      <c r="C16" s="11">
        <v>8506185979</v>
      </c>
      <c r="D16" s="11">
        <v>10389570920</v>
      </c>
      <c r="E16" s="11">
        <v>6835232150</v>
      </c>
      <c r="F16" s="11">
        <v>7699238480</v>
      </c>
      <c r="G16" s="11">
        <v>7347569820</v>
      </c>
      <c r="H16" s="11">
        <v>4224296100</v>
      </c>
      <c r="I16" s="11">
        <v>5153353000</v>
      </c>
      <c r="J16" s="11">
        <v>4486222600</v>
      </c>
      <c r="K16" s="11">
        <v>6164146610</v>
      </c>
      <c r="L16" s="11">
        <v>13211647220</v>
      </c>
      <c r="M16" s="11">
        <v>7173429400</v>
      </c>
      <c r="N16" s="11">
        <v>8266659380</v>
      </c>
      <c r="O16" s="11">
        <v>6309321800</v>
      </c>
      <c r="P16" s="11">
        <v>6052314300</v>
      </c>
      <c r="Q16" s="11">
        <v>5822949100</v>
      </c>
      <c r="R16" s="11">
        <v>4832833080</v>
      </c>
      <c r="S16" s="11">
        <v>4101479170</v>
      </c>
    </row>
    <row r="17" spans="1:19" ht="14.25" customHeight="1" x14ac:dyDescent="0.25">
      <c r="A17" s="11" t="s">
        <v>48</v>
      </c>
      <c r="B17" s="11">
        <v>1466821000</v>
      </c>
      <c r="C17" s="11">
        <v>1099329000</v>
      </c>
      <c r="D17" s="11">
        <v>1065846600</v>
      </c>
      <c r="E17" s="11">
        <v>1798423200</v>
      </c>
      <c r="F17" s="11">
        <v>2746183000</v>
      </c>
      <c r="G17" s="11">
        <v>830872400</v>
      </c>
      <c r="H17" s="11">
        <v>839709600</v>
      </c>
      <c r="I17" s="11">
        <v>1257173600</v>
      </c>
      <c r="J17" s="11">
        <v>713948800</v>
      </c>
      <c r="K17" s="11">
        <v>2363317100</v>
      </c>
      <c r="L17" s="11">
        <v>2313472100</v>
      </c>
      <c r="M17" s="11">
        <v>2849091200</v>
      </c>
      <c r="N17" s="11">
        <v>2935098200</v>
      </c>
      <c r="O17" s="11">
        <v>2968949800</v>
      </c>
      <c r="P17" s="11">
        <v>2792095600</v>
      </c>
      <c r="Q17" s="11">
        <v>1632966600</v>
      </c>
      <c r="R17" s="11">
        <v>1843521500</v>
      </c>
      <c r="S17" s="11">
        <v>1528097900</v>
      </c>
    </row>
    <row r="18" spans="1:19" ht="14.25" customHeight="1" x14ac:dyDescent="0.25">
      <c r="A18" s="11" t="s">
        <v>49</v>
      </c>
      <c r="B18" s="11">
        <v>21099535800</v>
      </c>
      <c r="C18" s="11">
        <v>26288335300</v>
      </c>
      <c r="D18" s="11">
        <v>23463839990</v>
      </c>
      <c r="E18" s="11">
        <v>23592641800</v>
      </c>
      <c r="F18" s="11">
        <v>20402147570</v>
      </c>
      <c r="G18" s="11">
        <v>19805903210</v>
      </c>
      <c r="H18" s="11">
        <v>26068445500</v>
      </c>
      <c r="I18" s="11">
        <v>29293350900</v>
      </c>
      <c r="J18" s="11">
        <v>25025609500</v>
      </c>
      <c r="K18" s="11">
        <v>21836379520</v>
      </c>
      <c r="L18" s="11">
        <v>18809282070</v>
      </c>
      <c r="M18" s="11">
        <v>22328048750</v>
      </c>
      <c r="N18" s="11">
        <v>23040904310</v>
      </c>
      <c r="O18" s="11">
        <v>20006851630</v>
      </c>
      <c r="P18" s="11">
        <v>23074596800</v>
      </c>
      <c r="Q18" s="11">
        <v>23787377010</v>
      </c>
      <c r="R18" s="11">
        <v>22121678230</v>
      </c>
      <c r="S18" s="11">
        <v>24766619810</v>
      </c>
    </row>
    <row r="19" spans="1:19" ht="14.25" customHeight="1" x14ac:dyDescent="0.25">
      <c r="A19" s="11" t="s">
        <v>50</v>
      </c>
      <c r="B19" s="11">
        <v>27343000</v>
      </c>
      <c r="C19" s="11">
        <v>15815000</v>
      </c>
      <c r="D19" s="11">
        <v>15527000</v>
      </c>
      <c r="E19" s="11">
        <v>31068000</v>
      </c>
      <c r="F19" s="11">
        <v>59544000</v>
      </c>
      <c r="G19" s="11">
        <v>35402000</v>
      </c>
      <c r="H19" s="11">
        <v>10896000</v>
      </c>
      <c r="I19" s="11">
        <v>0</v>
      </c>
      <c r="J19" s="11">
        <v>0</v>
      </c>
      <c r="K19" s="11">
        <v>48261300</v>
      </c>
      <c r="L19" s="11">
        <v>26603900</v>
      </c>
      <c r="M19" s="11">
        <v>62254200</v>
      </c>
      <c r="N19" s="11">
        <v>37926300</v>
      </c>
      <c r="O19" s="11">
        <v>20853700</v>
      </c>
      <c r="P19" s="11">
        <v>12856800</v>
      </c>
      <c r="Q19" s="11">
        <v>0</v>
      </c>
      <c r="R19" s="11">
        <v>9856400</v>
      </c>
      <c r="S19" s="11">
        <v>11289000</v>
      </c>
    </row>
    <row r="20" spans="1:19" ht="14.25" customHeight="1" x14ac:dyDescent="0.25">
      <c r="A20" s="11" t="s">
        <v>51</v>
      </c>
      <c r="B20" s="11">
        <v>4447476900</v>
      </c>
      <c r="C20" s="11">
        <v>6618504500</v>
      </c>
      <c r="D20" s="11">
        <v>6610585750</v>
      </c>
      <c r="E20" s="11">
        <v>8149419040</v>
      </c>
      <c r="F20" s="11">
        <v>7258939300</v>
      </c>
      <c r="G20" s="11">
        <v>4459348100</v>
      </c>
      <c r="H20" s="11">
        <v>11139489400</v>
      </c>
      <c r="I20" s="11">
        <v>13995613230</v>
      </c>
      <c r="J20" s="11">
        <v>12692707500</v>
      </c>
      <c r="K20" s="11">
        <v>6714696600</v>
      </c>
      <c r="L20" s="11">
        <v>5538811700</v>
      </c>
      <c r="M20" s="11">
        <v>6795017700</v>
      </c>
      <c r="N20" s="11">
        <v>7133322300</v>
      </c>
      <c r="O20" s="11">
        <v>5939154500</v>
      </c>
      <c r="P20" s="11">
        <v>5760496300</v>
      </c>
      <c r="Q20" s="11">
        <v>10222873000</v>
      </c>
      <c r="R20" s="11">
        <v>11501074900</v>
      </c>
      <c r="S20" s="11">
        <v>10223381300</v>
      </c>
    </row>
    <row r="21" spans="1:19" ht="14.25" customHeight="1" x14ac:dyDescent="0.25">
      <c r="A21" s="11" t="s">
        <v>52</v>
      </c>
      <c r="B21" s="11">
        <v>17716338840</v>
      </c>
      <c r="C21" s="11">
        <v>18919208530</v>
      </c>
      <c r="D21" s="11">
        <v>17570725510</v>
      </c>
      <c r="E21" s="11">
        <v>20981089780</v>
      </c>
      <c r="F21" s="11">
        <v>18833662900</v>
      </c>
      <c r="G21" s="11">
        <v>17502299500</v>
      </c>
      <c r="H21" s="11">
        <v>29587352250</v>
      </c>
      <c r="I21" s="11">
        <v>30538312460</v>
      </c>
      <c r="J21" s="11">
        <v>22609128770</v>
      </c>
      <c r="K21" s="11">
        <v>18500803950</v>
      </c>
      <c r="L21" s="11">
        <v>17014174750</v>
      </c>
      <c r="M21" s="11">
        <v>18567320400</v>
      </c>
      <c r="N21" s="11">
        <v>20923348600</v>
      </c>
      <c r="O21" s="11">
        <v>18881187620</v>
      </c>
      <c r="P21" s="11">
        <v>18165025400</v>
      </c>
      <c r="Q21" s="11">
        <v>21031778500</v>
      </c>
      <c r="R21" s="11">
        <v>22443674000</v>
      </c>
      <c r="S21" s="11">
        <v>22490428200</v>
      </c>
    </row>
    <row r="22" spans="1:19" ht="14.25" customHeight="1" x14ac:dyDescent="0.25">
      <c r="A22" s="11" t="s">
        <v>53</v>
      </c>
      <c r="B22" s="11">
        <v>3946523400</v>
      </c>
      <c r="C22" s="11">
        <v>3530380700</v>
      </c>
      <c r="D22" s="11">
        <v>4072155500</v>
      </c>
      <c r="E22" s="11">
        <v>3978410300</v>
      </c>
      <c r="F22" s="11">
        <v>4005424800</v>
      </c>
      <c r="G22" s="11">
        <v>4234769800</v>
      </c>
      <c r="H22" s="11">
        <v>4145854800</v>
      </c>
      <c r="I22" s="11">
        <v>5198603300</v>
      </c>
      <c r="J22" s="11">
        <v>3550701380</v>
      </c>
      <c r="K22" s="11">
        <v>3469589200</v>
      </c>
      <c r="L22" s="11">
        <v>2069838200</v>
      </c>
      <c r="M22" s="11">
        <v>3836171300</v>
      </c>
      <c r="N22" s="11">
        <v>4400307700</v>
      </c>
      <c r="O22" s="11">
        <v>3613509400</v>
      </c>
      <c r="P22" s="11">
        <v>2670031600</v>
      </c>
      <c r="Q22" s="11">
        <v>3422635900</v>
      </c>
      <c r="R22" s="11">
        <v>3468394000</v>
      </c>
      <c r="S22" s="11">
        <v>2873520600</v>
      </c>
    </row>
    <row r="23" spans="1:19" ht="14.25" customHeight="1" x14ac:dyDescent="0.25">
      <c r="A23" s="11" t="s">
        <v>54</v>
      </c>
      <c r="B23" s="11">
        <v>0</v>
      </c>
      <c r="C23" s="11">
        <v>0</v>
      </c>
      <c r="D23" s="11">
        <v>14665000</v>
      </c>
      <c r="E23" s="11">
        <v>16530000</v>
      </c>
      <c r="F23" s="11">
        <v>23035000</v>
      </c>
      <c r="G23" s="11">
        <v>33727000</v>
      </c>
      <c r="H23" s="11">
        <v>0</v>
      </c>
      <c r="I23" s="11">
        <v>17744000</v>
      </c>
      <c r="J23" s="11">
        <v>26788000</v>
      </c>
      <c r="K23" s="11">
        <v>9444200</v>
      </c>
      <c r="L23" s="11">
        <v>0</v>
      </c>
      <c r="M23" s="11">
        <v>0</v>
      </c>
      <c r="N23" s="11">
        <v>7761100</v>
      </c>
      <c r="O23" s="11">
        <v>11135000</v>
      </c>
      <c r="P23" s="11">
        <v>13282000</v>
      </c>
      <c r="Q23" s="11">
        <v>0</v>
      </c>
      <c r="R23" s="11">
        <v>26944000</v>
      </c>
      <c r="S23" s="11">
        <v>32467000</v>
      </c>
    </row>
    <row r="24" spans="1:19" ht="14.25" customHeight="1" x14ac:dyDescent="0.25">
      <c r="A24" s="11" t="s">
        <v>55</v>
      </c>
      <c r="B24" s="11">
        <v>2235584500</v>
      </c>
      <c r="C24" s="11">
        <v>2838834100</v>
      </c>
      <c r="D24" s="11">
        <v>2834774200</v>
      </c>
      <c r="E24" s="11">
        <v>2821185100</v>
      </c>
      <c r="F24" s="11">
        <v>2828259900</v>
      </c>
      <c r="G24" s="11">
        <v>2961826900</v>
      </c>
      <c r="H24" s="11">
        <v>5186211680</v>
      </c>
      <c r="I24" s="11">
        <v>6151002900</v>
      </c>
      <c r="J24" s="11">
        <v>4249739470</v>
      </c>
      <c r="K24" s="11">
        <v>1807920100</v>
      </c>
      <c r="L24" s="11">
        <v>1281949500</v>
      </c>
      <c r="M24" s="11">
        <v>1659331800</v>
      </c>
      <c r="N24" s="11">
        <v>1818070900</v>
      </c>
      <c r="O24" s="11">
        <v>1977805100</v>
      </c>
      <c r="P24" s="11">
        <v>1455804000</v>
      </c>
      <c r="Q24" s="11">
        <v>3644380700</v>
      </c>
      <c r="R24" s="11">
        <v>3082873800</v>
      </c>
      <c r="S24" s="11">
        <v>2984826700</v>
      </c>
    </row>
    <row r="25" spans="1:19" ht="14.25" customHeight="1" x14ac:dyDescent="0.25">
      <c r="A25" s="11" t="s">
        <v>56</v>
      </c>
      <c r="B25" s="11">
        <v>3419805500</v>
      </c>
      <c r="C25" s="11">
        <v>5942151400</v>
      </c>
      <c r="D25" s="11">
        <v>5253821100</v>
      </c>
      <c r="E25" s="11">
        <v>4124041500</v>
      </c>
      <c r="F25" s="11">
        <v>4339520700</v>
      </c>
      <c r="G25" s="11">
        <v>3190368000</v>
      </c>
      <c r="H25" s="11">
        <v>4394190000</v>
      </c>
      <c r="I25" s="11">
        <v>6449842100</v>
      </c>
      <c r="J25" s="11">
        <v>5811195700</v>
      </c>
      <c r="K25" s="11">
        <v>3750712500</v>
      </c>
      <c r="L25" s="11">
        <v>4054331600</v>
      </c>
      <c r="M25" s="11">
        <v>3690852300</v>
      </c>
      <c r="N25" s="11">
        <v>4295727400</v>
      </c>
      <c r="O25" s="11">
        <v>4270527000</v>
      </c>
      <c r="P25" s="11">
        <v>4086727700</v>
      </c>
      <c r="Q25" s="11">
        <v>4481129100</v>
      </c>
      <c r="R25" s="11">
        <v>4852777180</v>
      </c>
      <c r="S25" s="11">
        <v>4510213800</v>
      </c>
    </row>
    <row r="26" spans="1:19" ht="14.25" customHeight="1" x14ac:dyDescent="0.25">
      <c r="A26" s="11" t="s">
        <v>57</v>
      </c>
      <c r="B26" s="11">
        <v>4404490180</v>
      </c>
      <c r="C26" s="11">
        <v>6684589600</v>
      </c>
      <c r="D26" s="11">
        <v>5692026800</v>
      </c>
      <c r="E26" s="11">
        <v>6627723200</v>
      </c>
      <c r="F26" s="11">
        <v>6218205220</v>
      </c>
      <c r="G26" s="11">
        <v>4680616500</v>
      </c>
      <c r="H26" s="11">
        <v>8892446700</v>
      </c>
      <c r="I26" s="11">
        <v>11234265000</v>
      </c>
      <c r="J26" s="11">
        <v>9290586000</v>
      </c>
      <c r="K26" s="11">
        <v>5992448300</v>
      </c>
      <c r="L26" s="11">
        <v>5178956700</v>
      </c>
      <c r="M26" s="11">
        <v>6429001800</v>
      </c>
      <c r="N26" s="11">
        <v>6278246900</v>
      </c>
      <c r="O26" s="11">
        <v>5519159700</v>
      </c>
      <c r="P26" s="11">
        <v>5588285700</v>
      </c>
      <c r="Q26" s="11">
        <v>7650293500</v>
      </c>
      <c r="R26" s="11">
        <v>8089722300</v>
      </c>
      <c r="S26" s="11">
        <v>8714941300</v>
      </c>
    </row>
    <row r="27" spans="1:19" ht="14.25" customHeight="1" x14ac:dyDescent="0.25">
      <c r="A27" s="11" t="s">
        <v>58</v>
      </c>
      <c r="B27" s="11">
        <v>77616116840</v>
      </c>
      <c r="C27" s="11">
        <v>103959328100</v>
      </c>
      <c r="D27" s="11">
        <v>93962637280</v>
      </c>
      <c r="E27" s="11">
        <v>118903665690</v>
      </c>
      <c r="F27" s="11">
        <v>98474436570</v>
      </c>
      <c r="G27" s="11">
        <v>81416885880</v>
      </c>
      <c r="H27" s="11">
        <v>173018186330</v>
      </c>
      <c r="I27" s="11">
        <v>155470461910</v>
      </c>
      <c r="J27" s="11">
        <v>144417889450</v>
      </c>
      <c r="K27" s="11">
        <v>96515925540</v>
      </c>
      <c r="L27" s="11">
        <v>87038490040</v>
      </c>
      <c r="M27" s="11">
        <v>97107257640</v>
      </c>
      <c r="N27" s="11">
        <v>106974430530</v>
      </c>
      <c r="O27" s="11">
        <v>99984128240</v>
      </c>
      <c r="P27" s="11">
        <v>95627011990</v>
      </c>
      <c r="Q27" s="11">
        <v>152723972320</v>
      </c>
      <c r="R27" s="11">
        <v>155214960950</v>
      </c>
      <c r="S27" s="11">
        <v>166775258200</v>
      </c>
    </row>
    <row r="28" spans="1:19" ht="14.25" customHeight="1" x14ac:dyDescent="0.25">
      <c r="A28" s="11" t="s">
        <v>59</v>
      </c>
      <c r="B28" s="11">
        <v>90164088890</v>
      </c>
      <c r="C28" s="11">
        <v>121548352000</v>
      </c>
      <c r="D28" s="11">
        <v>125542076250</v>
      </c>
      <c r="E28" s="11">
        <v>95178302190</v>
      </c>
      <c r="F28" s="11">
        <v>89195511500</v>
      </c>
      <c r="G28" s="11">
        <v>88692130600</v>
      </c>
      <c r="H28" s="11">
        <v>60099977100</v>
      </c>
      <c r="I28" s="11">
        <v>61027121600</v>
      </c>
      <c r="J28" s="11">
        <v>51640145500</v>
      </c>
      <c r="K28" s="11">
        <v>96759885670</v>
      </c>
      <c r="L28" s="11">
        <v>94466202090</v>
      </c>
      <c r="M28" s="11">
        <v>105757563300</v>
      </c>
      <c r="N28" s="11">
        <v>102520446200</v>
      </c>
      <c r="O28" s="11">
        <v>103461960200</v>
      </c>
      <c r="P28" s="11">
        <v>112754595600</v>
      </c>
      <c r="Q28" s="11">
        <v>41470102180</v>
      </c>
      <c r="R28" s="11">
        <v>55471975760</v>
      </c>
      <c r="S28" s="11">
        <v>66952755300</v>
      </c>
    </row>
    <row r="29" spans="1:19" ht="14.25" customHeight="1" x14ac:dyDescent="0.25">
      <c r="A29" s="11" t="s">
        <v>13</v>
      </c>
      <c r="B29" s="11">
        <v>411344626530</v>
      </c>
      <c r="C29" s="11">
        <v>525276892599</v>
      </c>
      <c r="D29" s="11">
        <v>513274621240</v>
      </c>
      <c r="E29" s="11">
        <v>512902379070</v>
      </c>
      <c r="F29" s="11">
        <v>465380762260</v>
      </c>
      <c r="G29" s="11">
        <v>422025501060</v>
      </c>
      <c r="H29" s="11">
        <v>631575582940</v>
      </c>
      <c r="I29" s="11">
        <v>640410233510</v>
      </c>
      <c r="J29" s="11">
        <v>579137962260</v>
      </c>
      <c r="K29" s="11">
        <v>463797307896</v>
      </c>
      <c r="L29" s="11">
        <v>429077490050</v>
      </c>
      <c r="M29" s="11">
        <v>488233971000</v>
      </c>
      <c r="N29" s="11">
        <v>498888406860</v>
      </c>
      <c r="O29" s="11">
        <v>471797861220</v>
      </c>
      <c r="P29" s="11">
        <v>473884809590</v>
      </c>
      <c r="Q29" s="11">
        <v>557904955490</v>
      </c>
      <c r="R29" s="11">
        <v>568860055290</v>
      </c>
      <c r="S29" s="11">
        <v>586108503830</v>
      </c>
    </row>
    <row r="30" spans="1:19" ht="14.25" customHeight="1" x14ac:dyDescent="0.2"/>
    <row r="31" spans="1:19" ht="14.25" customHeight="1" x14ac:dyDescent="0.2"/>
    <row r="32" spans="1:19"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x14ac:dyDescent="0.2"/>
  <cols>
    <col min="1" max="1" width="11.875" customWidth="1"/>
    <col min="2" max="2" width="27.75" customWidth="1"/>
    <col min="3" max="3" width="20.125" customWidth="1"/>
    <col min="4" max="4" width="10.125" customWidth="1"/>
    <col min="5" max="5" width="102.625" customWidth="1"/>
    <col min="6" max="6" width="10.125" customWidth="1"/>
    <col min="7" max="26" width="9.375" customWidth="1"/>
  </cols>
  <sheetData>
    <row r="1" spans="1:26" ht="13.5" customHeight="1" x14ac:dyDescent="0.25">
      <c r="A1" s="12" t="s">
        <v>60</v>
      </c>
      <c r="B1" s="12"/>
      <c r="C1" s="12"/>
      <c r="D1" s="12"/>
      <c r="E1" s="12"/>
      <c r="F1" s="12"/>
      <c r="G1" s="12"/>
      <c r="H1" s="12"/>
      <c r="I1" s="12"/>
      <c r="J1" s="12"/>
      <c r="K1" s="12"/>
      <c r="L1" s="12"/>
      <c r="M1" s="12"/>
      <c r="N1" s="12"/>
      <c r="O1" s="12"/>
      <c r="P1" s="12"/>
      <c r="Q1" s="12"/>
      <c r="R1" s="12"/>
      <c r="S1" s="12"/>
      <c r="T1" s="12"/>
      <c r="U1" s="12"/>
      <c r="V1" s="12"/>
      <c r="W1" s="12"/>
      <c r="X1" s="12"/>
      <c r="Y1" s="12"/>
      <c r="Z1" s="12"/>
    </row>
    <row r="2" spans="1:26" ht="13.5" customHeight="1" x14ac:dyDescent="0.25">
      <c r="A2" s="13" t="s">
        <v>61</v>
      </c>
      <c r="B2" s="14" t="s">
        <v>62</v>
      </c>
      <c r="C2" s="14" t="s">
        <v>63</v>
      </c>
      <c r="D2" s="14" t="s">
        <v>64</v>
      </c>
      <c r="E2" s="15" t="s">
        <v>65</v>
      </c>
      <c r="F2" s="12"/>
      <c r="G2" s="12"/>
      <c r="H2" s="12"/>
      <c r="I2" s="12"/>
      <c r="J2" s="12"/>
      <c r="K2" s="12"/>
      <c r="L2" s="12"/>
      <c r="M2" s="12"/>
      <c r="N2" s="12"/>
      <c r="O2" s="12"/>
      <c r="P2" s="12"/>
      <c r="Q2" s="12"/>
      <c r="R2" s="12"/>
      <c r="S2" s="12"/>
      <c r="T2" s="12"/>
      <c r="U2" s="12"/>
      <c r="V2" s="12"/>
      <c r="W2" s="12"/>
      <c r="X2" s="12"/>
      <c r="Y2" s="12"/>
      <c r="Z2" s="12"/>
    </row>
    <row r="3" spans="1:26" ht="13.5" customHeight="1" x14ac:dyDescent="0.25">
      <c r="A3" s="16" t="s">
        <v>66</v>
      </c>
      <c r="B3" s="11" t="s">
        <v>67</v>
      </c>
      <c r="C3" s="17">
        <v>11431</v>
      </c>
      <c r="D3" s="17">
        <v>52276</v>
      </c>
      <c r="E3" s="18" t="s">
        <v>68</v>
      </c>
      <c r="F3" s="12"/>
      <c r="G3" s="12"/>
      <c r="H3" s="12"/>
      <c r="I3" s="12"/>
      <c r="J3" s="12"/>
      <c r="K3" s="12"/>
      <c r="L3" s="12"/>
      <c r="M3" s="12"/>
      <c r="N3" s="12"/>
      <c r="O3" s="12"/>
      <c r="P3" s="12"/>
      <c r="Q3" s="12"/>
      <c r="R3" s="12"/>
      <c r="S3" s="12"/>
      <c r="T3" s="12"/>
      <c r="U3" s="12"/>
      <c r="V3" s="12"/>
      <c r="W3" s="12"/>
      <c r="X3" s="12"/>
      <c r="Y3" s="12"/>
      <c r="Z3" s="12"/>
    </row>
    <row r="4" spans="1:26" ht="13.5" customHeight="1" x14ac:dyDescent="0.25">
      <c r="A4" s="16" t="s">
        <v>66</v>
      </c>
      <c r="B4" s="11" t="s">
        <v>69</v>
      </c>
      <c r="C4" s="17">
        <v>11101</v>
      </c>
      <c r="D4" s="17">
        <v>32502</v>
      </c>
      <c r="E4" s="18" t="s">
        <v>70</v>
      </c>
      <c r="F4" s="12"/>
      <c r="G4" s="12"/>
      <c r="H4" s="12"/>
      <c r="I4" s="12"/>
      <c r="J4" s="12"/>
      <c r="K4" s="12"/>
      <c r="L4" s="12"/>
      <c r="M4" s="12"/>
      <c r="N4" s="12"/>
      <c r="O4" s="12"/>
      <c r="P4" s="12"/>
      <c r="Q4" s="12"/>
      <c r="R4" s="12"/>
      <c r="S4" s="12"/>
      <c r="T4" s="12"/>
      <c r="U4" s="12"/>
      <c r="V4" s="12"/>
      <c r="W4" s="12"/>
      <c r="X4" s="12"/>
      <c r="Y4" s="12"/>
      <c r="Z4" s="12"/>
    </row>
    <row r="5" spans="1:26" ht="13.5" customHeight="1" x14ac:dyDescent="0.25">
      <c r="A5" s="16" t="s">
        <v>66</v>
      </c>
      <c r="B5" s="11" t="s">
        <v>71</v>
      </c>
      <c r="C5" s="17">
        <v>519</v>
      </c>
      <c r="D5" s="17">
        <v>1617</v>
      </c>
      <c r="E5" s="18" t="s">
        <v>72</v>
      </c>
      <c r="F5" s="12"/>
      <c r="G5" s="12"/>
      <c r="H5" s="12"/>
      <c r="I5" s="12"/>
      <c r="J5" s="12"/>
      <c r="K5" s="12"/>
      <c r="L5" s="12"/>
      <c r="M5" s="12"/>
      <c r="N5" s="12"/>
      <c r="O5" s="12"/>
      <c r="P5" s="12"/>
      <c r="Q5" s="12"/>
      <c r="R5" s="12"/>
      <c r="S5" s="12"/>
      <c r="T5" s="12"/>
      <c r="U5" s="12"/>
      <c r="V5" s="12"/>
      <c r="W5" s="12"/>
      <c r="X5" s="12"/>
      <c r="Y5" s="12"/>
      <c r="Z5" s="12"/>
    </row>
    <row r="6" spans="1:26" ht="13.5" customHeight="1" x14ac:dyDescent="0.25">
      <c r="A6" s="16" t="s">
        <v>66</v>
      </c>
      <c r="B6" s="11" t="s">
        <v>73</v>
      </c>
      <c r="C6" s="17">
        <v>428</v>
      </c>
      <c r="D6" s="17">
        <v>1273</v>
      </c>
      <c r="E6" s="18" t="s">
        <v>74</v>
      </c>
      <c r="F6" s="12"/>
      <c r="G6" s="12"/>
      <c r="H6" s="12"/>
      <c r="I6" s="12"/>
      <c r="J6" s="12"/>
      <c r="K6" s="12"/>
      <c r="L6" s="12"/>
      <c r="M6" s="12"/>
      <c r="N6" s="12"/>
      <c r="O6" s="12"/>
      <c r="P6" s="12"/>
      <c r="Q6" s="12"/>
      <c r="R6" s="12"/>
      <c r="S6" s="12"/>
      <c r="T6" s="12"/>
      <c r="U6" s="12"/>
      <c r="V6" s="12"/>
      <c r="W6" s="12"/>
      <c r="X6" s="12"/>
      <c r="Y6" s="12"/>
      <c r="Z6" s="12"/>
    </row>
    <row r="7" spans="1:26" ht="13.5" customHeight="1" x14ac:dyDescent="0.25">
      <c r="A7" s="16" t="s">
        <v>66</v>
      </c>
      <c r="B7" s="11" t="s">
        <v>75</v>
      </c>
      <c r="C7" s="17">
        <v>15</v>
      </c>
      <c r="D7" s="17">
        <v>32</v>
      </c>
      <c r="E7" s="18" t="s">
        <v>76</v>
      </c>
      <c r="F7" s="12"/>
      <c r="G7" s="12"/>
      <c r="H7" s="12"/>
      <c r="I7" s="12"/>
      <c r="J7" s="12"/>
      <c r="K7" s="12"/>
      <c r="L7" s="12"/>
      <c r="M7" s="12"/>
      <c r="N7" s="12"/>
      <c r="O7" s="12"/>
      <c r="P7" s="12"/>
      <c r="Q7" s="12"/>
      <c r="R7" s="12"/>
      <c r="S7" s="12"/>
      <c r="T7" s="12"/>
      <c r="U7" s="12"/>
      <c r="V7" s="12"/>
      <c r="W7" s="12"/>
      <c r="X7" s="12"/>
      <c r="Y7" s="12"/>
      <c r="Z7" s="12"/>
    </row>
    <row r="8" spans="1:26" ht="13.5" customHeight="1" x14ac:dyDescent="0.25">
      <c r="A8" s="16" t="s">
        <v>66</v>
      </c>
      <c r="B8" s="11" t="s">
        <v>77</v>
      </c>
      <c r="C8" s="17">
        <v>12</v>
      </c>
      <c r="D8" s="17">
        <v>21</v>
      </c>
      <c r="E8" s="18" t="s">
        <v>78</v>
      </c>
      <c r="F8" s="12"/>
      <c r="G8" s="12"/>
      <c r="H8" s="12"/>
      <c r="I8" s="12"/>
      <c r="J8" s="12"/>
      <c r="K8" s="12"/>
      <c r="L8" s="12"/>
      <c r="M8" s="12"/>
      <c r="N8" s="12"/>
      <c r="O8" s="12"/>
      <c r="P8" s="12"/>
      <c r="Q8" s="12"/>
      <c r="R8" s="12"/>
      <c r="S8" s="12"/>
      <c r="T8" s="12"/>
      <c r="U8" s="12"/>
      <c r="V8" s="12"/>
      <c r="W8" s="12"/>
      <c r="X8" s="12"/>
      <c r="Y8" s="12"/>
      <c r="Z8" s="12"/>
    </row>
    <row r="9" spans="1:26" ht="13.5" customHeight="1" x14ac:dyDescent="0.25">
      <c r="A9" s="16" t="s">
        <v>66</v>
      </c>
      <c r="B9" s="11" t="s">
        <v>79</v>
      </c>
      <c r="C9" s="17">
        <v>9</v>
      </c>
      <c r="D9" s="17">
        <v>20</v>
      </c>
      <c r="E9" s="18" t="s">
        <v>80</v>
      </c>
      <c r="F9" s="12"/>
      <c r="G9" s="12"/>
      <c r="H9" s="12"/>
      <c r="I9" s="12"/>
      <c r="J9" s="12"/>
      <c r="K9" s="12"/>
      <c r="L9" s="12"/>
      <c r="M9" s="12"/>
      <c r="N9" s="12"/>
      <c r="O9" s="12"/>
      <c r="P9" s="12"/>
      <c r="Q9" s="12"/>
      <c r="R9" s="12"/>
      <c r="S9" s="12"/>
      <c r="T9" s="12"/>
      <c r="U9" s="12"/>
      <c r="V9" s="12"/>
      <c r="W9" s="12"/>
      <c r="X9" s="12"/>
      <c r="Y9" s="12"/>
      <c r="Z9" s="12"/>
    </row>
    <row r="10" spans="1:26" ht="13.5" customHeight="1" x14ac:dyDescent="0.25">
      <c r="A10" s="16" t="s">
        <v>66</v>
      </c>
      <c r="B10" s="11" t="s">
        <v>81</v>
      </c>
      <c r="C10" s="17">
        <v>4</v>
      </c>
      <c r="D10" s="17">
        <v>10</v>
      </c>
      <c r="E10" s="18" t="s">
        <v>82</v>
      </c>
      <c r="F10" s="12"/>
      <c r="G10" s="12"/>
      <c r="H10" s="12"/>
      <c r="I10" s="12"/>
      <c r="J10" s="12"/>
      <c r="K10" s="12"/>
      <c r="L10" s="12"/>
      <c r="M10" s="12"/>
      <c r="N10" s="12"/>
      <c r="O10" s="12"/>
      <c r="P10" s="12"/>
      <c r="Q10" s="12"/>
      <c r="R10" s="12"/>
      <c r="S10" s="12"/>
      <c r="T10" s="12"/>
      <c r="U10" s="12"/>
      <c r="V10" s="12"/>
      <c r="W10" s="12"/>
      <c r="X10" s="12"/>
      <c r="Y10" s="12"/>
      <c r="Z10" s="12"/>
    </row>
    <row r="11" spans="1:26" ht="13.5" customHeight="1" x14ac:dyDescent="0.25">
      <c r="A11" s="16" t="s">
        <v>66</v>
      </c>
      <c r="B11" s="11" t="s">
        <v>83</v>
      </c>
      <c r="C11" s="17">
        <v>4</v>
      </c>
      <c r="D11" s="17">
        <v>8</v>
      </c>
      <c r="E11" s="18" t="s">
        <v>84</v>
      </c>
      <c r="F11" s="12"/>
      <c r="G11" s="12"/>
      <c r="H11" s="12"/>
      <c r="I11" s="12"/>
      <c r="J11" s="12"/>
      <c r="K11" s="12"/>
      <c r="L11" s="12"/>
      <c r="M11" s="12"/>
      <c r="N11" s="12"/>
      <c r="O11" s="12"/>
      <c r="P11" s="12"/>
      <c r="Q11" s="12"/>
      <c r="R11" s="12"/>
      <c r="S11" s="12"/>
      <c r="T11" s="12"/>
      <c r="U11" s="12"/>
      <c r="V11" s="12"/>
      <c r="W11" s="12"/>
      <c r="X11" s="12"/>
      <c r="Y11" s="12"/>
      <c r="Z11" s="12"/>
    </row>
    <row r="12" spans="1:26" ht="13.5" customHeight="1" x14ac:dyDescent="0.25">
      <c r="A12" s="16" t="s">
        <v>66</v>
      </c>
      <c r="B12" s="11" t="s">
        <v>85</v>
      </c>
      <c r="C12" s="17">
        <v>3</v>
      </c>
      <c r="D12" s="17">
        <v>24</v>
      </c>
      <c r="E12" s="18" t="s">
        <v>86</v>
      </c>
      <c r="F12" s="12"/>
      <c r="G12" s="12"/>
      <c r="H12" s="12"/>
      <c r="I12" s="12"/>
      <c r="J12" s="12"/>
      <c r="K12" s="12"/>
      <c r="L12" s="12"/>
      <c r="M12" s="12"/>
      <c r="N12" s="12"/>
      <c r="O12" s="12"/>
      <c r="P12" s="12"/>
      <c r="Q12" s="12"/>
      <c r="R12" s="12"/>
      <c r="S12" s="12"/>
      <c r="T12" s="12"/>
      <c r="U12" s="12"/>
      <c r="V12" s="12"/>
      <c r="W12" s="12"/>
      <c r="X12" s="12"/>
      <c r="Y12" s="12"/>
      <c r="Z12" s="12"/>
    </row>
    <row r="13" spans="1:26" ht="13.5" customHeight="1" x14ac:dyDescent="0.25">
      <c r="A13" s="19" t="s">
        <v>66</v>
      </c>
      <c r="B13" s="20" t="s">
        <v>87</v>
      </c>
      <c r="C13" s="21">
        <v>3</v>
      </c>
      <c r="D13" s="21">
        <v>5</v>
      </c>
      <c r="E13" s="22" t="s">
        <v>88</v>
      </c>
      <c r="F13" s="12"/>
      <c r="G13" s="12"/>
      <c r="H13" s="12"/>
      <c r="I13" s="12"/>
      <c r="J13" s="12"/>
      <c r="K13" s="12"/>
      <c r="L13" s="12"/>
      <c r="M13" s="12"/>
      <c r="N13" s="12"/>
      <c r="O13" s="12"/>
      <c r="P13" s="12"/>
      <c r="Q13" s="12"/>
      <c r="R13" s="12"/>
      <c r="S13" s="12"/>
      <c r="T13" s="12"/>
      <c r="U13" s="12"/>
      <c r="V13" s="12"/>
      <c r="W13" s="12"/>
      <c r="X13" s="12"/>
      <c r="Y13" s="12"/>
      <c r="Z13" s="12"/>
    </row>
    <row r="14" spans="1:26" ht="13.5" customHeight="1" x14ac:dyDescent="0.25">
      <c r="A14" s="23" t="s">
        <v>89</v>
      </c>
      <c r="B14" s="24" t="s">
        <v>90</v>
      </c>
      <c r="C14" s="25">
        <v>10724</v>
      </c>
      <c r="D14" s="25">
        <v>31159</v>
      </c>
      <c r="E14" s="26" t="s">
        <v>91</v>
      </c>
      <c r="F14" s="12"/>
      <c r="G14" s="12"/>
      <c r="H14" s="12"/>
      <c r="I14" s="12"/>
      <c r="J14" s="12"/>
      <c r="K14" s="12"/>
      <c r="L14" s="12"/>
      <c r="M14" s="12"/>
      <c r="N14" s="12"/>
      <c r="O14" s="12"/>
      <c r="P14" s="12"/>
      <c r="Q14" s="12"/>
      <c r="R14" s="12"/>
      <c r="S14" s="12"/>
      <c r="T14" s="12"/>
      <c r="U14" s="12"/>
      <c r="V14" s="12"/>
      <c r="W14" s="12"/>
      <c r="X14" s="12"/>
      <c r="Y14" s="12"/>
      <c r="Z14" s="12"/>
    </row>
    <row r="15" spans="1:26" ht="13.5" customHeight="1" x14ac:dyDescent="0.25">
      <c r="A15" s="16" t="s">
        <v>89</v>
      </c>
      <c r="B15" s="11" t="s">
        <v>92</v>
      </c>
      <c r="C15" s="17">
        <v>8162</v>
      </c>
      <c r="D15" s="17">
        <v>38626</v>
      </c>
      <c r="E15" s="18" t="s">
        <v>93</v>
      </c>
      <c r="F15" s="12"/>
      <c r="G15" s="12"/>
      <c r="H15" s="12"/>
      <c r="I15" s="12"/>
      <c r="J15" s="12"/>
      <c r="K15" s="12"/>
      <c r="L15" s="12"/>
      <c r="M15" s="12"/>
      <c r="N15" s="12"/>
      <c r="O15" s="12"/>
      <c r="P15" s="12"/>
      <c r="Q15" s="12"/>
      <c r="R15" s="12"/>
      <c r="S15" s="12"/>
      <c r="T15" s="12"/>
      <c r="U15" s="12"/>
      <c r="V15" s="12"/>
      <c r="W15" s="12"/>
      <c r="X15" s="12"/>
      <c r="Y15" s="12"/>
      <c r="Z15" s="12"/>
    </row>
    <row r="16" spans="1:26" ht="13.5" customHeight="1" x14ac:dyDescent="0.25">
      <c r="A16" s="16" t="s">
        <v>89</v>
      </c>
      <c r="B16" s="11" t="s">
        <v>71</v>
      </c>
      <c r="C16" s="17">
        <v>426</v>
      </c>
      <c r="D16" s="17">
        <v>1304</v>
      </c>
      <c r="E16" s="18" t="s">
        <v>94</v>
      </c>
      <c r="F16" s="12"/>
      <c r="G16" s="12"/>
      <c r="H16" s="12"/>
      <c r="I16" s="12"/>
      <c r="J16" s="12"/>
      <c r="K16" s="12"/>
      <c r="L16" s="12"/>
      <c r="M16" s="12"/>
      <c r="N16" s="12"/>
      <c r="O16" s="12"/>
      <c r="P16" s="12"/>
      <c r="Q16" s="12"/>
      <c r="R16" s="12"/>
      <c r="S16" s="12"/>
      <c r="T16" s="12"/>
      <c r="U16" s="12"/>
      <c r="V16" s="12"/>
      <c r="W16" s="12"/>
      <c r="X16" s="12"/>
      <c r="Y16" s="12"/>
      <c r="Z16" s="12"/>
    </row>
    <row r="17" spans="1:26" ht="13.5" customHeight="1" x14ac:dyDescent="0.25">
      <c r="A17" s="16" t="s">
        <v>89</v>
      </c>
      <c r="B17" s="11" t="s">
        <v>95</v>
      </c>
      <c r="C17" s="17">
        <v>391</v>
      </c>
      <c r="D17" s="17">
        <v>1194</v>
      </c>
      <c r="E17" s="18" t="s">
        <v>96</v>
      </c>
      <c r="F17" s="12"/>
      <c r="G17" s="12"/>
      <c r="H17" s="12"/>
      <c r="I17" s="12"/>
      <c r="J17" s="12"/>
      <c r="K17" s="12"/>
      <c r="L17" s="12"/>
      <c r="M17" s="12"/>
      <c r="N17" s="12"/>
      <c r="O17" s="12"/>
      <c r="P17" s="12"/>
      <c r="Q17" s="12"/>
      <c r="R17" s="12"/>
      <c r="S17" s="12"/>
      <c r="T17" s="12"/>
      <c r="U17" s="12"/>
      <c r="V17" s="12"/>
      <c r="W17" s="12"/>
      <c r="X17" s="12"/>
      <c r="Y17" s="12"/>
      <c r="Z17" s="12"/>
    </row>
    <row r="18" spans="1:26" ht="13.5" customHeight="1" x14ac:dyDescent="0.25">
      <c r="A18" s="16" t="s">
        <v>89</v>
      </c>
      <c r="B18" s="11" t="s">
        <v>97</v>
      </c>
      <c r="C18" s="17">
        <v>162</v>
      </c>
      <c r="D18" s="17">
        <v>587</v>
      </c>
      <c r="E18" s="18" t="s">
        <v>98</v>
      </c>
      <c r="F18" s="12"/>
      <c r="G18" s="12"/>
      <c r="H18" s="12"/>
      <c r="I18" s="12"/>
      <c r="J18" s="12"/>
      <c r="K18" s="12"/>
      <c r="L18" s="12"/>
      <c r="M18" s="12"/>
      <c r="N18" s="12"/>
      <c r="O18" s="12"/>
      <c r="P18" s="12"/>
      <c r="Q18" s="12"/>
      <c r="R18" s="12"/>
      <c r="S18" s="12"/>
      <c r="T18" s="12"/>
      <c r="U18" s="12"/>
      <c r="V18" s="12"/>
      <c r="W18" s="12"/>
      <c r="X18" s="12"/>
      <c r="Y18" s="12"/>
      <c r="Z18" s="12"/>
    </row>
    <row r="19" spans="1:26" ht="13.5" customHeight="1" x14ac:dyDescent="0.25">
      <c r="A19" s="16" t="s">
        <v>89</v>
      </c>
      <c r="B19" s="11" t="s">
        <v>99</v>
      </c>
      <c r="C19" s="17">
        <v>142</v>
      </c>
      <c r="D19" s="17">
        <v>364</v>
      </c>
      <c r="E19" s="18" t="s">
        <v>100</v>
      </c>
      <c r="F19" s="12"/>
      <c r="G19" s="12"/>
      <c r="H19" s="12"/>
      <c r="I19" s="12"/>
      <c r="J19" s="12"/>
      <c r="K19" s="12"/>
      <c r="L19" s="12"/>
      <c r="M19" s="12"/>
      <c r="N19" s="12"/>
      <c r="O19" s="12"/>
      <c r="P19" s="12"/>
      <c r="Q19" s="12"/>
      <c r="R19" s="12"/>
      <c r="S19" s="12"/>
      <c r="T19" s="12"/>
      <c r="U19" s="12"/>
      <c r="V19" s="12"/>
      <c r="W19" s="12"/>
      <c r="X19" s="12"/>
      <c r="Y19" s="12"/>
      <c r="Z19" s="12"/>
    </row>
    <row r="20" spans="1:26" ht="13.5" customHeight="1" x14ac:dyDescent="0.25">
      <c r="A20" s="16" t="s">
        <v>89</v>
      </c>
      <c r="B20" s="11" t="s">
        <v>101</v>
      </c>
      <c r="C20" s="17">
        <v>95</v>
      </c>
      <c r="D20" s="17">
        <v>383</v>
      </c>
      <c r="E20" s="18" t="s">
        <v>102</v>
      </c>
      <c r="F20" s="12"/>
      <c r="G20" s="12"/>
      <c r="H20" s="12"/>
      <c r="I20" s="12"/>
      <c r="J20" s="12"/>
      <c r="K20" s="12"/>
      <c r="L20" s="12"/>
      <c r="M20" s="12"/>
      <c r="N20" s="12"/>
      <c r="O20" s="12"/>
      <c r="P20" s="12"/>
      <c r="Q20" s="12"/>
      <c r="R20" s="12"/>
      <c r="S20" s="12"/>
      <c r="T20" s="12"/>
      <c r="U20" s="12"/>
      <c r="V20" s="12"/>
      <c r="W20" s="12"/>
      <c r="X20" s="12"/>
      <c r="Y20" s="12"/>
      <c r="Z20" s="12"/>
    </row>
    <row r="21" spans="1:26" ht="13.5" customHeight="1" x14ac:dyDescent="0.25">
      <c r="A21" s="16" t="s">
        <v>89</v>
      </c>
      <c r="B21" s="11" t="s">
        <v>103</v>
      </c>
      <c r="C21" s="17">
        <v>90</v>
      </c>
      <c r="D21" s="17">
        <v>303</v>
      </c>
      <c r="E21" s="18" t="s">
        <v>104</v>
      </c>
      <c r="F21" s="12"/>
      <c r="G21" s="12"/>
      <c r="H21" s="12"/>
      <c r="I21" s="12"/>
      <c r="J21" s="12"/>
      <c r="K21" s="12"/>
      <c r="L21" s="12"/>
      <c r="M21" s="12"/>
      <c r="N21" s="12"/>
      <c r="O21" s="12"/>
      <c r="P21" s="12"/>
      <c r="Q21" s="12"/>
      <c r="R21" s="12"/>
      <c r="S21" s="12"/>
      <c r="T21" s="12"/>
      <c r="U21" s="12"/>
      <c r="V21" s="12"/>
      <c r="W21" s="12"/>
      <c r="X21" s="12"/>
      <c r="Y21" s="12"/>
      <c r="Z21" s="12"/>
    </row>
    <row r="22" spans="1:26" ht="13.5" customHeight="1" x14ac:dyDescent="0.25">
      <c r="A22" s="16" t="s">
        <v>89</v>
      </c>
      <c r="B22" s="11" t="s">
        <v>105</v>
      </c>
      <c r="C22" s="17">
        <v>71</v>
      </c>
      <c r="D22" s="17">
        <v>180</v>
      </c>
      <c r="E22" s="18" t="s">
        <v>106</v>
      </c>
      <c r="F22" s="12"/>
      <c r="G22" s="12"/>
      <c r="H22" s="12"/>
      <c r="I22" s="12"/>
      <c r="J22" s="12"/>
      <c r="K22" s="12"/>
      <c r="L22" s="12"/>
      <c r="M22" s="12"/>
      <c r="N22" s="12"/>
      <c r="O22" s="12"/>
      <c r="P22" s="12"/>
      <c r="Q22" s="12"/>
      <c r="R22" s="12"/>
      <c r="S22" s="12"/>
      <c r="T22" s="12"/>
      <c r="U22" s="12"/>
      <c r="V22" s="12"/>
      <c r="W22" s="12"/>
      <c r="X22" s="12"/>
      <c r="Y22" s="12"/>
      <c r="Z22" s="12"/>
    </row>
    <row r="23" spans="1:26" ht="13.5" customHeight="1" x14ac:dyDescent="0.25">
      <c r="A23" s="16" t="s">
        <v>89</v>
      </c>
      <c r="B23" s="11" t="s">
        <v>107</v>
      </c>
      <c r="C23" s="17">
        <v>32</v>
      </c>
      <c r="D23" s="17">
        <v>59</v>
      </c>
      <c r="E23" s="18" t="s">
        <v>108</v>
      </c>
      <c r="F23" s="12"/>
      <c r="G23" s="12"/>
      <c r="H23" s="12"/>
      <c r="I23" s="12"/>
      <c r="J23" s="12"/>
      <c r="K23" s="12"/>
      <c r="L23" s="12"/>
      <c r="M23" s="12"/>
      <c r="N23" s="12"/>
      <c r="O23" s="12"/>
      <c r="P23" s="12"/>
      <c r="Q23" s="12"/>
      <c r="R23" s="12"/>
      <c r="S23" s="12"/>
      <c r="T23" s="12"/>
      <c r="U23" s="12"/>
      <c r="V23" s="12"/>
      <c r="W23" s="12"/>
      <c r="X23" s="12"/>
      <c r="Y23" s="12"/>
      <c r="Z23" s="12"/>
    </row>
    <row r="24" spans="1:26" ht="13.5" customHeight="1" x14ac:dyDescent="0.25">
      <c r="A24" s="16" t="s">
        <v>89</v>
      </c>
      <c r="B24" s="11" t="s">
        <v>109</v>
      </c>
      <c r="C24" s="17">
        <v>22</v>
      </c>
      <c r="D24" s="17">
        <v>99</v>
      </c>
      <c r="E24" s="18" t="s">
        <v>110</v>
      </c>
      <c r="F24" s="12"/>
      <c r="G24" s="12"/>
      <c r="H24" s="12"/>
      <c r="I24" s="12"/>
      <c r="J24" s="12"/>
      <c r="K24" s="12"/>
      <c r="L24" s="12"/>
      <c r="M24" s="12"/>
      <c r="N24" s="12"/>
      <c r="O24" s="12"/>
      <c r="P24" s="12"/>
      <c r="Q24" s="12"/>
      <c r="R24" s="12"/>
      <c r="S24" s="12"/>
      <c r="T24" s="12"/>
      <c r="U24" s="12"/>
      <c r="V24" s="12"/>
      <c r="W24" s="12"/>
      <c r="X24" s="12"/>
      <c r="Y24" s="12"/>
      <c r="Z24" s="12"/>
    </row>
    <row r="25" spans="1:26" ht="13.5" customHeight="1" x14ac:dyDescent="0.25">
      <c r="A25" s="16" t="s">
        <v>89</v>
      </c>
      <c r="B25" s="11" t="s">
        <v>111</v>
      </c>
      <c r="C25" s="17">
        <v>15</v>
      </c>
      <c r="D25" s="17">
        <v>32</v>
      </c>
      <c r="E25" s="18" t="s">
        <v>112</v>
      </c>
      <c r="F25" s="12"/>
      <c r="G25" s="12"/>
      <c r="H25" s="12"/>
      <c r="I25" s="12"/>
      <c r="J25" s="12"/>
      <c r="K25" s="12"/>
      <c r="L25" s="12"/>
      <c r="M25" s="12"/>
      <c r="N25" s="12"/>
      <c r="O25" s="12"/>
      <c r="P25" s="12"/>
      <c r="Q25" s="12"/>
      <c r="R25" s="12"/>
      <c r="S25" s="12"/>
      <c r="T25" s="12"/>
      <c r="U25" s="12"/>
      <c r="V25" s="12"/>
      <c r="W25" s="12"/>
      <c r="X25" s="12"/>
      <c r="Y25" s="12"/>
      <c r="Z25" s="12"/>
    </row>
    <row r="26" spans="1:26" ht="13.5" customHeight="1" x14ac:dyDescent="0.25">
      <c r="A26" s="16" t="s">
        <v>89</v>
      </c>
      <c r="B26" s="11" t="s">
        <v>113</v>
      </c>
      <c r="C26" s="17">
        <v>10</v>
      </c>
      <c r="D26" s="17">
        <v>17</v>
      </c>
      <c r="E26" s="18" t="s">
        <v>114</v>
      </c>
      <c r="F26" s="12"/>
      <c r="G26" s="12"/>
      <c r="H26" s="12"/>
      <c r="I26" s="12"/>
      <c r="J26" s="12"/>
      <c r="K26" s="12"/>
      <c r="L26" s="12"/>
      <c r="M26" s="12"/>
      <c r="N26" s="12"/>
      <c r="O26" s="12"/>
      <c r="P26" s="12"/>
      <c r="Q26" s="12"/>
      <c r="R26" s="12"/>
      <c r="S26" s="12"/>
      <c r="T26" s="12"/>
      <c r="U26" s="12"/>
      <c r="V26" s="12"/>
      <c r="W26" s="12"/>
      <c r="X26" s="12"/>
      <c r="Y26" s="12"/>
      <c r="Z26" s="12"/>
    </row>
    <row r="27" spans="1:26" ht="13.5" customHeight="1" x14ac:dyDescent="0.25">
      <c r="A27" s="16" t="s">
        <v>89</v>
      </c>
      <c r="B27" s="11" t="s">
        <v>115</v>
      </c>
      <c r="C27" s="17">
        <v>9</v>
      </c>
      <c r="D27" s="17">
        <v>20</v>
      </c>
      <c r="E27" s="18" t="s">
        <v>116</v>
      </c>
      <c r="F27" s="12"/>
      <c r="G27" s="12"/>
      <c r="H27" s="12"/>
      <c r="I27" s="12"/>
      <c r="J27" s="12"/>
      <c r="K27" s="12"/>
      <c r="L27" s="12"/>
      <c r="M27" s="12"/>
      <c r="N27" s="12"/>
      <c r="O27" s="12"/>
      <c r="P27" s="12"/>
      <c r="Q27" s="12"/>
      <c r="R27" s="12"/>
      <c r="S27" s="12"/>
      <c r="T27" s="12"/>
      <c r="U27" s="12"/>
      <c r="V27" s="12"/>
      <c r="W27" s="12"/>
      <c r="X27" s="12"/>
      <c r="Y27" s="12"/>
      <c r="Z27" s="12"/>
    </row>
    <row r="28" spans="1:26" ht="13.5" customHeight="1" x14ac:dyDescent="0.25">
      <c r="A28" s="16" t="s">
        <v>89</v>
      </c>
      <c r="B28" s="11" t="s">
        <v>117</v>
      </c>
      <c r="C28" s="17">
        <v>6</v>
      </c>
      <c r="D28" s="17">
        <v>23</v>
      </c>
      <c r="E28" s="18" t="s">
        <v>118</v>
      </c>
      <c r="F28" s="12"/>
      <c r="G28" s="12"/>
      <c r="H28" s="12"/>
      <c r="I28" s="12"/>
      <c r="J28" s="12"/>
      <c r="K28" s="12"/>
      <c r="L28" s="12"/>
      <c r="M28" s="12"/>
      <c r="N28" s="12"/>
      <c r="O28" s="12"/>
      <c r="P28" s="12"/>
      <c r="Q28" s="12"/>
      <c r="R28" s="12"/>
      <c r="S28" s="12"/>
      <c r="T28" s="12"/>
      <c r="U28" s="12"/>
      <c r="V28" s="12"/>
      <c r="W28" s="12"/>
      <c r="X28" s="12"/>
      <c r="Y28" s="12"/>
      <c r="Z28" s="12"/>
    </row>
    <row r="29" spans="1:26" ht="13.5" customHeight="1" x14ac:dyDescent="0.25">
      <c r="A29" s="16" t="s">
        <v>89</v>
      </c>
      <c r="B29" s="11" t="s">
        <v>119</v>
      </c>
      <c r="C29" s="17">
        <v>4</v>
      </c>
      <c r="D29" s="17">
        <v>10</v>
      </c>
      <c r="E29" s="18" t="s">
        <v>120</v>
      </c>
      <c r="F29" s="12"/>
      <c r="G29" s="12"/>
      <c r="H29" s="12"/>
      <c r="I29" s="12"/>
      <c r="J29" s="12"/>
      <c r="K29" s="12"/>
      <c r="L29" s="12"/>
      <c r="M29" s="12"/>
      <c r="N29" s="12"/>
      <c r="O29" s="12"/>
      <c r="P29" s="12"/>
      <c r="Q29" s="12"/>
      <c r="R29" s="12"/>
      <c r="S29" s="12"/>
      <c r="T29" s="12"/>
      <c r="U29" s="12"/>
      <c r="V29" s="12"/>
      <c r="W29" s="12"/>
      <c r="X29" s="12"/>
      <c r="Y29" s="12"/>
      <c r="Z29" s="12"/>
    </row>
    <row r="30" spans="1:26" ht="13.5" customHeight="1" x14ac:dyDescent="0.25">
      <c r="A30" s="16" t="s">
        <v>89</v>
      </c>
      <c r="B30" s="11" t="s">
        <v>121</v>
      </c>
      <c r="C30" s="17">
        <v>3</v>
      </c>
      <c r="D30" s="17">
        <v>24</v>
      </c>
      <c r="E30" s="18" t="s">
        <v>122</v>
      </c>
      <c r="F30" s="12"/>
      <c r="G30" s="12"/>
      <c r="H30" s="12"/>
      <c r="I30" s="12"/>
      <c r="J30" s="12"/>
      <c r="K30" s="12"/>
      <c r="L30" s="12"/>
      <c r="M30" s="12"/>
      <c r="N30" s="12"/>
      <c r="O30" s="12"/>
      <c r="P30" s="12"/>
      <c r="Q30" s="12"/>
      <c r="R30" s="12"/>
      <c r="S30" s="12"/>
      <c r="T30" s="12"/>
      <c r="U30" s="12"/>
      <c r="V30" s="12"/>
      <c r="W30" s="12"/>
      <c r="X30" s="12"/>
      <c r="Y30" s="12"/>
      <c r="Z30" s="12"/>
    </row>
    <row r="31" spans="1:26" ht="13.5" customHeight="1" x14ac:dyDescent="0.25">
      <c r="A31" s="16" t="s">
        <v>89</v>
      </c>
      <c r="B31" s="11" t="s">
        <v>123</v>
      </c>
      <c r="C31" s="17">
        <v>3</v>
      </c>
      <c r="D31" s="17">
        <v>5</v>
      </c>
      <c r="E31" s="18" t="s">
        <v>124</v>
      </c>
      <c r="F31" s="12"/>
      <c r="G31" s="12"/>
      <c r="H31" s="12"/>
      <c r="I31" s="12"/>
      <c r="J31" s="12"/>
      <c r="K31" s="12"/>
      <c r="L31" s="12"/>
      <c r="M31" s="12"/>
      <c r="N31" s="12"/>
      <c r="O31" s="12"/>
      <c r="P31" s="12"/>
      <c r="Q31" s="12"/>
      <c r="R31" s="12"/>
      <c r="S31" s="12"/>
      <c r="T31" s="12"/>
      <c r="U31" s="12"/>
      <c r="V31" s="12"/>
      <c r="W31" s="12"/>
      <c r="X31" s="12"/>
      <c r="Y31" s="12"/>
      <c r="Z31" s="12"/>
    </row>
    <row r="32" spans="1:26" ht="13.5" customHeight="1" x14ac:dyDescent="0.25">
      <c r="A32" s="19" t="s">
        <v>89</v>
      </c>
      <c r="B32" s="20" t="s">
        <v>125</v>
      </c>
      <c r="C32" s="21">
        <v>3</v>
      </c>
      <c r="D32" s="21">
        <v>10</v>
      </c>
      <c r="E32" s="22" t="s">
        <v>126</v>
      </c>
      <c r="F32" s="12"/>
      <c r="G32" s="12"/>
      <c r="H32" s="12"/>
      <c r="I32" s="12"/>
      <c r="J32" s="12"/>
      <c r="K32" s="12"/>
      <c r="L32" s="12"/>
      <c r="M32" s="12"/>
      <c r="N32" s="12"/>
      <c r="O32" s="12"/>
      <c r="P32" s="12"/>
      <c r="Q32" s="12"/>
      <c r="R32" s="12"/>
      <c r="S32" s="12"/>
      <c r="T32" s="12"/>
      <c r="U32" s="12"/>
      <c r="V32" s="12"/>
      <c r="W32" s="12"/>
      <c r="X32" s="12"/>
      <c r="Y32" s="12"/>
      <c r="Z32" s="12"/>
    </row>
    <row r="33" spans="1:26" ht="13.5" customHeight="1" x14ac:dyDescent="0.25">
      <c r="A33" s="23" t="s">
        <v>127</v>
      </c>
      <c r="B33" s="24" t="s">
        <v>128</v>
      </c>
      <c r="C33" s="25">
        <v>10676</v>
      </c>
      <c r="D33" s="25">
        <v>30977</v>
      </c>
      <c r="E33" s="26" t="s">
        <v>129</v>
      </c>
      <c r="F33" s="12"/>
      <c r="G33" s="12"/>
      <c r="H33" s="12"/>
      <c r="I33" s="12"/>
      <c r="J33" s="12"/>
      <c r="K33" s="12"/>
      <c r="L33" s="12"/>
      <c r="M33" s="12"/>
      <c r="N33" s="12"/>
      <c r="O33" s="12"/>
      <c r="P33" s="12"/>
      <c r="Q33" s="12"/>
      <c r="R33" s="12"/>
      <c r="S33" s="12"/>
      <c r="T33" s="12"/>
      <c r="U33" s="12"/>
      <c r="V33" s="12"/>
      <c r="W33" s="12"/>
      <c r="X33" s="12"/>
      <c r="Y33" s="12"/>
      <c r="Z33" s="12"/>
    </row>
    <row r="34" spans="1:26" ht="13.5" customHeight="1" x14ac:dyDescent="0.25">
      <c r="A34" s="16" t="s">
        <v>127</v>
      </c>
      <c r="B34" s="11" t="s">
        <v>130</v>
      </c>
      <c r="C34" s="17">
        <v>8149</v>
      </c>
      <c r="D34" s="17">
        <v>38574</v>
      </c>
      <c r="E34" s="18" t="s">
        <v>131</v>
      </c>
      <c r="F34" s="12"/>
      <c r="G34" s="12"/>
      <c r="H34" s="12"/>
      <c r="I34" s="12"/>
      <c r="J34" s="12"/>
      <c r="K34" s="12"/>
      <c r="L34" s="12"/>
      <c r="M34" s="12"/>
      <c r="N34" s="12"/>
      <c r="O34" s="12"/>
      <c r="P34" s="12"/>
      <c r="Q34" s="12"/>
      <c r="R34" s="12"/>
      <c r="S34" s="12"/>
      <c r="T34" s="12"/>
      <c r="U34" s="12"/>
      <c r="V34" s="12"/>
      <c r="W34" s="12"/>
      <c r="X34" s="12"/>
      <c r="Y34" s="12"/>
      <c r="Z34" s="12"/>
    </row>
    <row r="35" spans="1:26" ht="13.5" customHeight="1" x14ac:dyDescent="0.25">
      <c r="A35" s="16" t="s">
        <v>127</v>
      </c>
      <c r="B35" s="11" t="s">
        <v>132</v>
      </c>
      <c r="C35" s="17">
        <v>398</v>
      </c>
      <c r="D35" s="17">
        <v>1230</v>
      </c>
      <c r="E35" s="18" t="s">
        <v>133</v>
      </c>
      <c r="F35" s="12"/>
      <c r="G35" s="12"/>
      <c r="H35" s="12"/>
      <c r="I35" s="12"/>
      <c r="J35" s="12"/>
      <c r="K35" s="12"/>
      <c r="L35" s="12"/>
      <c r="M35" s="12"/>
      <c r="N35" s="12"/>
      <c r="O35" s="12"/>
      <c r="P35" s="12"/>
      <c r="Q35" s="12"/>
      <c r="R35" s="12"/>
      <c r="S35" s="12"/>
      <c r="T35" s="12"/>
      <c r="U35" s="12"/>
      <c r="V35" s="12"/>
      <c r="W35" s="12"/>
      <c r="X35" s="12"/>
      <c r="Y35" s="12"/>
      <c r="Z35" s="12"/>
    </row>
    <row r="36" spans="1:26" ht="13.5" customHeight="1" x14ac:dyDescent="0.25">
      <c r="A36" s="16" t="s">
        <v>127</v>
      </c>
      <c r="B36" s="11" t="s">
        <v>134</v>
      </c>
      <c r="C36" s="17">
        <v>230</v>
      </c>
      <c r="D36" s="17">
        <v>681</v>
      </c>
      <c r="E36" s="18" t="s">
        <v>135</v>
      </c>
      <c r="F36" s="12"/>
      <c r="G36" s="12"/>
      <c r="H36" s="12"/>
      <c r="I36" s="12"/>
      <c r="J36" s="12"/>
      <c r="K36" s="12"/>
      <c r="L36" s="12"/>
      <c r="M36" s="12"/>
      <c r="N36" s="12"/>
      <c r="O36" s="12"/>
      <c r="P36" s="12"/>
      <c r="Q36" s="12"/>
      <c r="R36" s="12"/>
      <c r="S36" s="12"/>
      <c r="T36" s="12"/>
      <c r="U36" s="12"/>
      <c r="V36" s="12"/>
      <c r="W36" s="12"/>
      <c r="X36" s="12"/>
      <c r="Y36" s="12"/>
      <c r="Z36" s="12"/>
    </row>
    <row r="37" spans="1:26" ht="13.5" customHeight="1" x14ac:dyDescent="0.25">
      <c r="A37" s="16" t="s">
        <v>127</v>
      </c>
      <c r="B37" s="11" t="s">
        <v>136</v>
      </c>
      <c r="C37" s="17">
        <v>158</v>
      </c>
      <c r="D37" s="17">
        <v>577</v>
      </c>
      <c r="E37" s="18" t="s">
        <v>137</v>
      </c>
      <c r="F37" s="12"/>
      <c r="G37" s="12"/>
      <c r="H37" s="12"/>
      <c r="I37" s="12"/>
      <c r="J37" s="12"/>
      <c r="K37" s="12"/>
      <c r="L37" s="12"/>
      <c r="M37" s="12"/>
      <c r="N37" s="12"/>
      <c r="O37" s="12"/>
      <c r="P37" s="12"/>
      <c r="Q37" s="12"/>
      <c r="R37" s="12"/>
      <c r="S37" s="12"/>
      <c r="T37" s="12"/>
      <c r="U37" s="12"/>
      <c r="V37" s="12"/>
      <c r="W37" s="12"/>
      <c r="X37" s="12"/>
      <c r="Y37" s="12"/>
      <c r="Z37" s="12"/>
    </row>
    <row r="38" spans="1:26" ht="13.5" customHeight="1" x14ac:dyDescent="0.25">
      <c r="A38" s="16" t="s">
        <v>127</v>
      </c>
      <c r="B38" s="11" t="s">
        <v>138</v>
      </c>
      <c r="C38" s="17">
        <v>141</v>
      </c>
      <c r="D38" s="17">
        <v>363</v>
      </c>
      <c r="E38" s="18" t="s">
        <v>139</v>
      </c>
      <c r="F38" s="12"/>
      <c r="G38" s="12"/>
      <c r="H38" s="12"/>
      <c r="I38" s="12"/>
      <c r="J38" s="12"/>
      <c r="K38" s="12"/>
      <c r="L38" s="12"/>
      <c r="M38" s="12"/>
      <c r="N38" s="12"/>
      <c r="O38" s="12"/>
      <c r="P38" s="12"/>
      <c r="Q38" s="12"/>
      <c r="R38" s="12"/>
      <c r="S38" s="12"/>
      <c r="T38" s="12"/>
      <c r="U38" s="12"/>
      <c r="V38" s="12"/>
      <c r="W38" s="12"/>
      <c r="X38" s="12"/>
      <c r="Y38" s="12"/>
      <c r="Z38" s="12"/>
    </row>
    <row r="39" spans="1:26" ht="13.5" customHeight="1" x14ac:dyDescent="0.25">
      <c r="A39" s="16" t="s">
        <v>127</v>
      </c>
      <c r="B39" s="11" t="s">
        <v>140</v>
      </c>
      <c r="C39" s="17">
        <v>135</v>
      </c>
      <c r="D39" s="17">
        <v>385</v>
      </c>
      <c r="E39" s="18" t="s">
        <v>141</v>
      </c>
      <c r="F39" s="12"/>
      <c r="G39" s="12"/>
      <c r="H39" s="12"/>
      <c r="I39" s="12"/>
      <c r="J39" s="12"/>
      <c r="K39" s="12"/>
      <c r="L39" s="12"/>
      <c r="M39" s="12"/>
      <c r="N39" s="12"/>
      <c r="O39" s="12"/>
      <c r="P39" s="12"/>
      <c r="Q39" s="12"/>
      <c r="R39" s="12"/>
      <c r="S39" s="12"/>
      <c r="T39" s="12"/>
      <c r="U39" s="12"/>
      <c r="V39" s="12"/>
      <c r="W39" s="12"/>
      <c r="X39" s="12"/>
      <c r="Y39" s="12"/>
      <c r="Z39" s="12"/>
    </row>
    <row r="40" spans="1:26" ht="13.5" customHeight="1" x14ac:dyDescent="0.25">
      <c r="A40" s="16" t="s">
        <v>127</v>
      </c>
      <c r="B40" s="11" t="s">
        <v>142</v>
      </c>
      <c r="C40" s="17">
        <v>81</v>
      </c>
      <c r="D40" s="17">
        <v>255</v>
      </c>
      <c r="E40" s="18" t="s">
        <v>143</v>
      </c>
      <c r="F40" s="12"/>
      <c r="G40" s="12"/>
      <c r="H40" s="12"/>
      <c r="I40" s="12"/>
      <c r="J40" s="12"/>
      <c r="K40" s="12"/>
      <c r="L40" s="12"/>
      <c r="M40" s="12"/>
      <c r="N40" s="12"/>
      <c r="O40" s="12"/>
      <c r="P40" s="12"/>
      <c r="Q40" s="12"/>
      <c r="R40" s="12"/>
      <c r="S40" s="12"/>
      <c r="T40" s="12"/>
      <c r="U40" s="12"/>
      <c r="V40" s="12"/>
      <c r="W40" s="12"/>
      <c r="X40" s="12"/>
      <c r="Y40" s="12"/>
      <c r="Z40" s="12"/>
    </row>
    <row r="41" spans="1:26" ht="13.5" customHeight="1" x14ac:dyDescent="0.25">
      <c r="A41" s="16" t="s">
        <v>127</v>
      </c>
      <c r="B41" s="11" t="s">
        <v>144</v>
      </c>
      <c r="C41" s="17">
        <v>71</v>
      </c>
      <c r="D41" s="17">
        <v>180</v>
      </c>
      <c r="E41" s="18" t="s">
        <v>145</v>
      </c>
      <c r="F41" s="12"/>
      <c r="G41" s="12"/>
      <c r="H41" s="12"/>
      <c r="I41" s="12"/>
      <c r="J41" s="12"/>
      <c r="K41" s="12"/>
      <c r="L41" s="12"/>
      <c r="M41" s="12"/>
      <c r="N41" s="12"/>
      <c r="O41" s="12"/>
      <c r="P41" s="12"/>
      <c r="Q41" s="12"/>
      <c r="R41" s="12"/>
      <c r="S41" s="12"/>
      <c r="T41" s="12"/>
      <c r="U41" s="12"/>
      <c r="V41" s="12"/>
      <c r="W41" s="12"/>
      <c r="X41" s="12"/>
      <c r="Y41" s="12"/>
      <c r="Z41" s="12"/>
    </row>
    <row r="42" spans="1:26" ht="13.5" customHeight="1" x14ac:dyDescent="0.25">
      <c r="A42" s="16" t="s">
        <v>127</v>
      </c>
      <c r="B42" s="11" t="s">
        <v>146</v>
      </c>
      <c r="C42" s="17">
        <v>67</v>
      </c>
      <c r="D42" s="17">
        <v>210</v>
      </c>
      <c r="E42" s="18" t="s">
        <v>147</v>
      </c>
      <c r="F42" s="12"/>
      <c r="G42" s="12"/>
      <c r="H42" s="12"/>
      <c r="I42" s="12"/>
      <c r="J42" s="12"/>
      <c r="K42" s="12"/>
      <c r="L42" s="12"/>
      <c r="M42" s="12"/>
      <c r="N42" s="12"/>
      <c r="O42" s="12"/>
      <c r="P42" s="12"/>
      <c r="Q42" s="12"/>
      <c r="R42" s="12"/>
      <c r="S42" s="12"/>
      <c r="T42" s="12"/>
      <c r="U42" s="12"/>
      <c r="V42" s="12"/>
      <c r="W42" s="12"/>
      <c r="X42" s="12"/>
      <c r="Y42" s="12"/>
      <c r="Z42" s="12"/>
    </row>
    <row r="43" spans="1:26" ht="13.5" customHeight="1" x14ac:dyDescent="0.25">
      <c r="A43" s="16" t="s">
        <v>127</v>
      </c>
      <c r="B43" s="11" t="s">
        <v>148</v>
      </c>
      <c r="C43" s="17">
        <v>22</v>
      </c>
      <c r="D43" s="17">
        <v>42</v>
      </c>
      <c r="E43" s="18" t="s">
        <v>149</v>
      </c>
      <c r="F43" s="12"/>
      <c r="G43" s="12"/>
      <c r="H43" s="12"/>
      <c r="I43" s="12"/>
      <c r="J43" s="12"/>
      <c r="K43" s="12"/>
      <c r="L43" s="12"/>
      <c r="M43" s="12"/>
      <c r="N43" s="12"/>
      <c r="O43" s="12"/>
      <c r="P43" s="12"/>
      <c r="Q43" s="12"/>
      <c r="R43" s="12"/>
      <c r="S43" s="12"/>
      <c r="T43" s="12"/>
      <c r="U43" s="12"/>
      <c r="V43" s="12"/>
      <c r="W43" s="12"/>
      <c r="X43" s="12"/>
      <c r="Y43" s="12"/>
      <c r="Z43" s="12"/>
    </row>
    <row r="44" spans="1:26" ht="13.5" customHeight="1" x14ac:dyDescent="0.25">
      <c r="A44" s="16" t="s">
        <v>127</v>
      </c>
      <c r="B44" s="11" t="s">
        <v>150</v>
      </c>
      <c r="C44" s="17">
        <v>20</v>
      </c>
      <c r="D44" s="17">
        <v>64</v>
      </c>
      <c r="E44" s="18" t="s">
        <v>151</v>
      </c>
      <c r="F44" s="12"/>
      <c r="G44" s="12"/>
      <c r="H44" s="12"/>
      <c r="I44" s="12"/>
      <c r="J44" s="12"/>
      <c r="K44" s="12"/>
      <c r="L44" s="12"/>
      <c r="M44" s="12"/>
      <c r="N44" s="12"/>
      <c r="O44" s="12"/>
      <c r="P44" s="12"/>
      <c r="Q44" s="12"/>
      <c r="R44" s="12"/>
      <c r="S44" s="12"/>
      <c r="T44" s="12"/>
      <c r="U44" s="12"/>
      <c r="V44" s="12"/>
      <c r="W44" s="12"/>
      <c r="X44" s="12"/>
      <c r="Y44" s="12"/>
      <c r="Z44" s="12"/>
    </row>
    <row r="45" spans="1:26" ht="13.5" customHeight="1" x14ac:dyDescent="0.25">
      <c r="A45" s="16" t="s">
        <v>127</v>
      </c>
      <c r="B45" s="11" t="s">
        <v>152</v>
      </c>
      <c r="C45" s="17">
        <v>15</v>
      </c>
      <c r="D45" s="17">
        <v>32</v>
      </c>
      <c r="E45" s="18" t="s">
        <v>153</v>
      </c>
      <c r="F45" s="12"/>
      <c r="G45" s="12"/>
      <c r="H45" s="12"/>
      <c r="I45" s="12"/>
      <c r="J45" s="12"/>
      <c r="K45" s="12"/>
      <c r="L45" s="12"/>
      <c r="M45" s="12"/>
      <c r="N45" s="12"/>
      <c r="O45" s="12"/>
      <c r="P45" s="12"/>
      <c r="Q45" s="12"/>
      <c r="R45" s="12"/>
      <c r="S45" s="12"/>
      <c r="T45" s="12"/>
      <c r="U45" s="12"/>
      <c r="V45" s="12"/>
      <c r="W45" s="12"/>
      <c r="X45" s="12"/>
      <c r="Y45" s="12"/>
      <c r="Z45" s="12"/>
    </row>
    <row r="46" spans="1:26" ht="13.5" customHeight="1" x14ac:dyDescent="0.25">
      <c r="A46" s="16" t="s">
        <v>127</v>
      </c>
      <c r="B46" s="11" t="s">
        <v>154</v>
      </c>
      <c r="C46" s="17">
        <v>14</v>
      </c>
      <c r="D46" s="17">
        <v>36</v>
      </c>
      <c r="E46" s="18" t="s">
        <v>155</v>
      </c>
      <c r="F46" s="12"/>
      <c r="G46" s="12"/>
      <c r="H46" s="12"/>
      <c r="I46" s="12"/>
      <c r="J46" s="12"/>
      <c r="K46" s="12"/>
      <c r="L46" s="12"/>
      <c r="M46" s="12"/>
      <c r="N46" s="12"/>
      <c r="O46" s="12"/>
      <c r="P46" s="12"/>
      <c r="Q46" s="12"/>
      <c r="R46" s="12"/>
      <c r="S46" s="12"/>
      <c r="T46" s="12"/>
      <c r="U46" s="12"/>
      <c r="V46" s="12"/>
      <c r="W46" s="12"/>
      <c r="X46" s="12"/>
      <c r="Y46" s="12"/>
      <c r="Z46" s="12"/>
    </row>
    <row r="47" spans="1:26" ht="13.5" customHeight="1" x14ac:dyDescent="0.25">
      <c r="A47" s="16" t="s">
        <v>127</v>
      </c>
      <c r="B47" s="11" t="s">
        <v>156</v>
      </c>
      <c r="C47" s="17">
        <v>13</v>
      </c>
      <c r="D47" s="17">
        <v>86</v>
      </c>
      <c r="E47" s="18" t="s">
        <v>157</v>
      </c>
      <c r="F47" s="12"/>
      <c r="G47" s="12"/>
      <c r="H47" s="12"/>
      <c r="I47" s="12"/>
      <c r="J47" s="12"/>
      <c r="K47" s="12"/>
      <c r="L47" s="12"/>
      <c r="M47" s="12"/>
      <c r="N47" s="12"/>
      <c r="O47" s="12"/>
      <c r="P47" s="12"/>
      <c r="Q47" s="12"/>
      <c r="R47" s="12"/>
      <c r="S47" s="12"/>
      <c r="T47" s="12"/>
      <c r="U47" s="12"/>
      <c r="V47" s="12"/>
      <c r="W47" s="12"/>
      <c r="X47" s="12"/>
      <c r="Y47" s="12"/>
      <c r="Z47" s="12"/>
    </row>
    <row r="48" spans="1:26" ht="13.5" customHeight="1" x14ac:dyDescent="0.25">
      <c r="A48" s="16" t="s">
        <v>127</v>
      </c>
      <c r="B48" s="11" t="s">
        <v>158</v>
      </c>
      <c r="C48" s="17">
        <v>10</v>
      </c>
      <c r="D48" s="17">
        <v>17</v>
      </c>
      <c r="E48" s="18" t="s">
        <v>159</v>
      </c>
      <c r="F48" s="12"/>
      <c r="G48" s="12"/>
      <c r="H48" s="12"/>
      <c r="I48" s="12"/>
      <c r="J48" s="12"/>
      <c r="K48" s="12"/>
      <c r="L48" s="12"/>
      <c r="M48" s="12"/>
      <c r="N48" s="12"/>
      <c r="O48" s="12"/>
      <c r="P48" s="12"/>
      <c r="Q48" s="12"/>
      <c r="R48" s="12"/>
      <c r="S48" s="12"/>
      <c r="T48" s="12"/>
      <c r="U48" s="12"/>
      <c r="V48" s="12"/>
      <c r="W48" s="12"/>
      <c r="X48" s="12"/>
      <c r="Y48" s="12"/>
      <c r="Z48" s="12"/>
    </row>
    <row r="49" spans="1:26" ht="13.5" customHeight="1" x14ac:dyDescent="0.25">
      <c r="A49" s="16" t="s">
        <v>127</v>
      </c>
      <c r="B49" s="11" t="s">
        <v>160</v>
      </c>
      <c r="C49" s="17">
        <v>9</v>
      </c>
      <c r="D49" s="17">
        <v>20</v>
      </c>
      <c r="E49" s="18" t="s">
        <v>161</v>
      </c>
      <c r="F49" s="12"/>
      <c r="G49" s="12"/>
      <c r="H49" s="12"/>
      <c r="I49" s="12"/>
      <c r="J49" s="12"/>
      <c r="K49" s="12"/>
      <c r="L49" s="12"/>
      <c r="M49" s="12"/>
      <c r="N49" s="12"/>
      <c r="O49" s="12"/>
      <c r="P49" s="12"/>
      <c r="Q49" s="12"/>
      <c r="R49" s="12"/>
      <c r="S49" s="12"/>
      <c r="T49" s="12"/>
      <c r="U49" s="12"/>
      <c r="V49" s="12"/>
      <c r="W49" s="12"/>
      <c r="X49" s="12"/>
      <c r="Y49" s="12"/>
      <c r="Z49" s="12"/>
    </row>
    <row r="50" spans="1:26" ht="13.5" customHeight="1" x14ac:dyDescent="0.25">
      <c r="A50" s="16" t="s">
        <v>127</v>
      </c>
      <c r="B50" s="11" t="s">
        <v>162</v>
      </c>
      <c r="C50" s="17">
        <v>6</v>
      </c>
      <c r="D50" s="17">
        <v>27</v>
      </c>
      <c r="E50" s="18" t="s">
        <v>163</v>
      </c>
      <c r="F50" s="12"/>
      <c r="G50" s="12"/>
      <c r="H50" s="12"/>
      <c r="I50" s="12"/>
      <c r="J50" s="12"/>
      <c r="K50" s="12"/>
      <c r="L50" s="12"/>
      <c r="M50" s="12"/>
      <c r="N50" s="12"/>
      <c r="O50" s="12"/>
      <c r="P50" s="12"/>
      <c r="Q50" s="12"/>
      <c r="R50" s="12"/>
      <c r="S50" s="12"/>
      <c r="T50" s="12"/>
      <c r="U50" s="12"/>
      <c r="V50" s="12"/>
      <c r="W50" s="12"/>
      <c r="X50" s="12"/>
      <c r="Y50" s="12"/>
      <c r="Z50" s="12"/>
    </row>
    <row r="51" spans="1:26" ht="13.5" customHeight="1" x14ac:dyDescent="0.25">
      <c r="A51" s="16" t="s">
        <v>127</v>
      </c>
      <c r="B51" s="11" t="s">
        <v>164</v>
      </c>
      <c r="C51" s="17">
        <v>5</v>
      </c>
      <c r="D51" s="17">
        <v>18</v>
      </c>
      <c r="E51" s="18" t="s">
        <v>165</v>
      </c>
      <c r="F51" s="12"/>
      <c r="G51" s="12"/>
      <c r="H51" s="12"/>
      <c r="I51" s="12"/>
      <c r="J51" s="12"/>
      <c r="K51" s="12"/>
      <c r="L51" s="12"/>
      <c r="M51" s="12"/>
      <c r="N51" s="12"/>
      <c r="O51" s="12"/>
      <c r="P51" s="12"/>
      <c r="Q51" s="12"/>
      <c r="R51" s="12"/>
      <c r="S51" s="12"/>
      <c r="T51" s="12"/>
      <c r="U51" s="12"/>
      <c r="V51" s="12"/>
      <c r="W51" s="12"/>
      <c r="X51" s="12"/>
      <c r="Y51" s="12"/>
      <c r="Z51" s="12"/>
    </row>
    <row r="52" spans="1:26" ht="13.5" customHeight="1" x14ac:dyDescent="0.25">
      <c r="A52" s="16" t="s">
        <v>127</v>
      </c>
      <c r="B52" s="11" t="s">
        <v>166</v>
      </c>
      <c r="C52" s="17">
        <v>3</v>
      </c>
      <c r="D52" s="17">
        <v>33</v>
      </c>
      <c r="E52" s="18" t="s">
        <v>167</v>
      </c>
      <c r="F52" s="12"/>
      <c r="G52" s="12"/>
      <c r="H52" s="12"/>
      <c r="I52" s="12"/>
      <c r="J52" s="12"/>
      <c r="K52" s="12"/>
      <c r="L52" s="12"/>
      <c r="M52" s="12"/>
      <c r="N52" s="12"/>
      <c r="O52" s="12"/>
      <c r="P52" s="12"/>
      <c r="Q52" s="12"/>
      <c r="R52" s="12"/>
      <c r="S52" s="12"/>
      <c r="T52" s="12"/>
      <c r="U52" s="12"/>
      <c r="V52" s="12"/>
      <c r="W52" s="12"/>
      <c r="X52" s="12"/>
      <c r="Y52" s="12"/>
      <c r="Z52" s="12"/>
    </row>
    <row r="53" spans="1:26" ht="13.5" customHeight="1" x14ac:dyDescent="0.25">
      <c r="A53" s="16" t="s">
        <v>127</v>
      </c>
      <c r="B53" s="11" t="s">
        <v>168</v>
      </c>
      <c r="C53" s="17">
        <v>3</v>
      </c>
      <c r="D53" s="17">
        <v>21</v>
      </c>
      <c r="E53" s="18" t="s">
        <v>169</v>
      </c>
      <c r="F53" s="12"/>
      <c r="G53" s="12"/>
      <c r="H53" s="12"/>
      <c r="I53" s="12"/>
      <c r="J53" s="12"/>
      <c r="K53" s="12"/>
      <c r="L53" s="12"/>
      <c r="M53" s="12"/>
      <c r="N53" s="12"/>
      <c r="O53" s="12"/>
      <c r="P53" s="12"/>
      <c r="Q53" s="12"/>
      <c r="R53" s="12"/>
      <c r="S53" s="12"/>
      <c r="T53" s="12"/>
      <c r="U53" s="12"/>
      <c r="V53" s="12"/>
      <c r="W53" s="12"/>
      <c r="X53" s="12"/>
      <c r="Y53" s="12"/>
      <c r="Z53" s="12"/>
    </row>
    <row r="54" spans="1:26" ht="13.5" customHeight="1" x14ac:dyDescent="0.25">
      <c r="A54" s="16" t="s">
        <v>127</v>
      </c>
      <c r="B54" s="11" t="s">
        <v>170</v>
      </c>
      <c r="C54" s="17">
        <v>3</v>
      </c>
      <c r="D54" s="17">
        <v>24</v>
      </c>
      <c r="E54" s="18" t="s">
        <v>171</v>
      </c>
      <c r="F54" s="12"/>
      <c r="G54" s="12"/>
      <c r="H54" s="12"/>
      <c r="I54" s="12"/>
      <c r="J54" s="12"/>
      <c r="K54" s="12"/>
      <c r="L54" s="12"/>
      <c r="M54" s="12"/>
      <c r="N54" s="12"/>
      <c r="O54" s="12"/>
      <c r="P54" s="12"/>
      <c r="Q54" s="12"/>
      <c r="R54" s="12"/>
      <c r="S54" s="12"/>
      <c r="T54" s="12"/>
      <c r="U54" s="12"/>
      <c r="V54" s="12"/>
      <c r="W54" s="12"/>
      <c r="X54" s="12"/>
      <c r="Y54" s="12"/>
      <c r="Z54" s="12"/>
    </row>
    <row r="55" spans="1:26" ht="13.5" customHeight="1" x14ac:dyDescent="0.25">
      <c r="A55" s="16" t="s">
        <v>127</v>
      </c>
      <c r="B55" s="11" t="s">
        <v>172</v>
      </c>
      <c r="C55" s="17">
        <v>3</v>
      </c>
      <c r="D55" s="17">
        <v>7</v>
      </c>
      <c r="E55" s="18" t="s">
        <v>173</v>
      </c>
      <c r="F55" s="12"/>
      <c r="G55" s="12"/>
      <c r="H55" s="12"/>
      <c r="I55" s="12"/>
      <c r="J55" s="12"/>
      <c r="K55" s="12"/>
      <c r="L55" s="12"/>
      <c r="M55" s="12"/>
      <c r="N55" s="12"/>
      <c r="O55" s="12"/>
      <c r="P55" s="12"/>
      <c r="Q55" s="12"/>
      <c r="R55" s="12"/>
      <c r="S55" s="12"/>
      <c r="T55" s="12"/>
      <c r="U55" s="12"/>
      <c r="V55" s="12"/>
      <c r="W55" s="12"/>
      <c r="X55" s="12"/>
      <c r="Y55" s="12"/>
      <c r="Z55" s="12"/>
    </row>
    <row r="56" spans="1:26" ht="13.5" customHeight="1" x14ac:dyDescent="0.25">
      <c r="A56" s="16" t="s">
        <v>127</v>
      </c>
      <c r="B56" s="11" t="s">
        <v>174</v>
      </c>
      <c r="C56" s="17">
        <v>3</v>
      </c>
      <c r="D56" s="17">
        <v>8</v>
      </c>
      <c r="E56" s="18" t="s">
        <v>175</v>
      </c>
      <c r="F56" s="12"/>
      <c r="G56" s="12"/>
      <c r="H56" s="12"/>
      <c r="I56" s="12"/>
      <c r="J56" s="12"/>
      <c r="K56" s="12"/>
      <c r="L56" s="12"/>
      <c r="M56" s="12"/>
      <c r="N56" s="12"/>
      <c r="O56" s="12"/>
      <c r="P56" s="12"/>
      <c r="Q56" s="12"/>
      <c r="R56" s="12"/>
      <c r="S56" s="12"/>
      <c r="T56" s="12"/>
      <c r="U56" s="12"/>
      <c r="V56" s="12"/>
      <c r="W56" s="12"/>
      <c r="X56" s="12"/>
      <c r="Y56" s="12"/>
      <c r="Z56" s="12"/>
    </row>
    <row r="57" spans="1:26" ht="13.5" customHeight="1" x14ac:dyDescent="0.25">
      <c r="A57" s="19" t="s">
        <v>127</v>
      </c>
      <c r="B57" s="20" t="s">
        <v>176</v>
      </c>
      <c r="C57" s="21">
        <v>3</v>
      </c>
      <c r="D57" s="21">
        <v>10</v>
      </c>
      <c r="E57" s="22" t="s">
        <v>177</v>
      </c>
      <c r="F57" s="12"/>
      <c r="G57" s="12"/>
      <c r="H57" s="12"/>
      <c r="I57" s="12"/>
      <c r="J57" s="12"/>
      <c r="K57" s="12"/>
      <c r="L57" s="12"/>
      <c r="M57" s="12"/>
      <c r="N57" s="12"/>
      <c r="O57" s="12"/>
      <c r="P57" s="12"/>
      <c r="Q57" s="12"/>
      <c r="R57" s="12"/>
      <c r="S57" s="12"/>
      <c r="T57" s="12"/>
      <c r="U57" s="12"/>
      <c r="V57" s="12"/>
      <c r="W57" s="12"/>
      <c r="X57" s="12"/>
      <c r="Y57" s="12"/>
      <c r="Z57" s="12"/>
    </row>
    <row r="58" spans="1:26" ht="13.5" customHeight="1" x14ac:dyDescent="0.25">
      <c r="A58" s="23" t="s">
        <v>178</v>
      </c>
      <c r="B58" s="24" t="s">
        <v>179</v>
      </c>
      <c r="C58" s="25">
        <v>4751</v>
      </c>
      <c r="D58" s="25">
        <v>14611</v>
      </c>
      <c r="E58" s="26" t="s">
        <v>180</v>
      </c>
      <c r="F58" s="12"/>
      <c r="G58" s="12"/>
      <c r="H58" s="12"/>
      <c r="I58" s="12"/>
      <c r="J58" s="12"/>
      <c r="K58" s="12"/>
      <c r="L58" s="12"/>
      <c r="M58" s="12"/>
      <c r="N58" s="12"/>
      <c r="O58" s="12"/>
      <c r="P58" s="12"/>
      <c r="Q58" s="12"/>
      <c r="R58" s="12"/>
      <c r="S58" s="12"/>
      <c r="T58" s="12"/>
      <c r="U58" s="12"/>
      <c r="V58" s="12"/>
      <c r="W58" s="12"/>
      <c r="X58" s="12"/>
      <c r="Y58" s="12"/>
      <c r="Z58" s="12"/>
    </row>
    <row r="59" spans="1:26" ht="13.5" customHeight="1" x14ac:dyDescent="0.25">
      <c r="A59" s="16" t="s">
        <v>178</v>
      </c>
      <c r="B59" s="11" t="s">
        <v>181</v>
      </c>
      <c r="C59" s="17">
        <v>3541</v>
      </c>
      <c r="D59" s="17">
        <v>8586</v>
      </c>
      <c r="E59" s="18" t="s">
        <v>182</v>
      </c>
      <c r="F59" s="12"/>
      <c r="G59" s="12"/>
      <c r="H59" s="12"/>
      <c r="I59" s="12"/>
      <c r="J59" s="12"/>
      <c r="K59" s="12"/>
      <c r="L59" s="12"/>
      <c r="M59" s="12"/>
      <c r="N59" s="12"/>
      <c r="O59" s="12"/>
      <c r="P59" s="12"/>
      <c r="Q59" s="12"/>
      <c r="R59" s="12"/>
      <c r="S59" s="12"/>
      <c r="T59" s="12"/>
      <c r="U59" s="12"/>
      <c r="V59" s="12"/>
      <c r="W59" s="12"/>
      <c r="X59" s="12"/>
      <c r="Y59" s="12"/>
      <c r="Z59" s="12"/>
    </row>
    <row r="60" spans="1:26" ht="13.5" customHeight="1" x14ac:dyDescent="0.25">
      <c r="A60" s="16" t="s">
        <v>178</v>
      </c>
      <c r="B60" s="11" t="s">
        <v>183</v>
      </c>
      <c r="C60" s="17">
        <v>2832</v>
      </c>
      <c r="D60" s="17">
        <v>15873</v>
      </c>
      <c r="E60" s="18" t="s">
        <v>184</v>
      </c>
      <c r="F60" s="12"/>
      <c r="G60" s="12"/>
      <c r="H60" s="12"/>
      <c r="I60" s="12"/>
      <c r="J60" s="12"/>
      <c r="K60" s="12"/>
      <c r="L60" s="12"/>
      <c r="M60" s="12"/>
      <c r="N60" s="12"/>
      <c r="O60" s="12"/>
      <c r="P60" s="12"/>
      <c r="Q60" s="12"/>
      <c r="R60" s="12"/>
      <c r="S60" s="12"/>
      <c r="T60" s="12"/>
      <c r="U60" s="12"/>
      <c r="V60" s="12"/>
      <c r="W60" s="12"/>
      <c r="X60" s="12"/>
      <c r="Y60" s="12"/>
      <c r="Z60" s="12"/>
    </row>
    <row r="61" spans="1:26" ht="13.5" customHeight="1" x14ac:dyDescent="0.25">
      <c r="A61" s="16" t="s">
        <v>178</v>
      </c>
      <c r="B61" s="11" t="s">
        <v>185</v>
      </c>
      <c r="C61" s="17">
        <v>1087</v>
      </c>
      <c r="D61" s="17">
        <v>4461</v>
      </c>
      <c r="E61" s="18" t="s">
        <v>186</v>
      </c>
      <c r="F61" s="12"/>
      <c r="G61" s="12"/>
      <c r="H61" s="12"/>
      <c r="I61" s="12"/>
      <c r="J61" s="12"/>
      <c r="K61" s="12"/>
      <c r="L61" s="12"/>
      <c r="M61" s="12"/>
      <c r="N61" s="12"/>
      <c r="O61" s="12"/>
      <c r="P61" s="12"/>
      <c r="Q61" s="12"/>
      <c r="R61" s="12"/>
      <c r="S61" s="12"/>
      <c r="T61" s="12"/>
      <c r="U61" s="12"/>
      <c r="V61" s="12"/>
      <c r="W61" s="12"/>
      <c r="X61" s="12"/>
      <c r="Y61" s="12"/>
      <c r="Z61" s="12"/>
    </row>
    <row r="62" spans="1:26" ht="13.5" customHeight="1" x14ac:dyDescent="0.25">
      <c r="A62" s="16" t="s">
        <v>178</v>
      </c>
      <c r="B62" s="11" t="s">
        <v>187</v>
      </c>
      <c r="C62" s="17">
        <v>816</v>
      </c>
      <c r="D62" s="17">
        <v>3170</v>
      </c>
      <c r="E62" s="18" t="s">
        <v>188</v>
      </c>
      <c r="F62" s="12"/>
      <c r="G62" s="12"/>
      <c r="H62" s="12"/>
      <c r="I62" s="12"/>
      <c r="J62" s="12"/>
      <c r="K62" s="12"/>
      <c r="L62" s="12"/>
      <c r="M62" s="12"/>
      <c r="N62" s="12"/>
      <c r="O62" s="12"/>
      <c r="P62" s="12"/>
      <c r="Q62" s="12"/>
      <c r="R62" s="12"/>
      <c r="S62" s="12"/>
      <c r="T62" s="12"/>
      <c r="U62" s="12"/>
      <c r="V62" s="12"/>
      <c r="W62" s="12"/>
      <c r="X62" s="12"/>
      <c r="Y62" s="12"/>
      <c r="Z62" s="12"/>
    </row>
    <row r="63" spans="1:26" ht="13.5" customHeight="1" x14ac:dyDescent="0.25">
      <c r="A63" s="16" t="s">
        <v>178</v>
      </c>
      <c r="B63" s="11" t="s">
        <v>189</v>
      </c>
      <c r="C63" s="17">
        <v>576</v>
      </c>
      <c r="D63" s="17">
        <v>1762</v>
      </c>
      <c r="E63" s="18" t="s">
        <v>190</v>
      </c>
      <c r="F63" s="12"/>
      <c r="G63" s="12"/>
      <c r="H63" s="12"/>
      <c r="I63" s="12"/>
      <c r="J63" s="12"/>
      <c r="K63" s="12"/>
      <c r="L63" s="12"/>
      <c r="M63" s="12"/>
      <c r="N63" s="12"/>
      <c r="O63" s="12"/>
      <c r="P63" s="12"/>
      <c r="Q63" s="12"/>
      <c r="R63" s="12"/>
      <c r="S63" s="12"/>
      <c r="T63" s="12"/>
      <c r="U63" s="12"/>
      <c r="V63" s="12"/>
      <c r="W63" s="12"/>
      <c r="X63" s="12"/>
      <c r="Y63" s="12"/>
      <c r="Z63" s="12"/>
    </row>
    <row r="64" spans="1:26" ht="13.5" customHeight="1" x14ac:dyDescent="0.25">
      <c r="A64" s="16" t="s">
        <v>178</v>
      </c>
      <c r="B64" s="11" t="s">
        <v>191</v>
      </c>
      <c r="C64" s="17">
        <v>398</v>
      </c>
      <c r="D64" s="17">
        <v>1230</v>
      </c>
      <c r="E64" s="18" t="s">
        <v>192</v>
      </c>
      <c r="F64" s="12"/>
      <c r="G64" s="12"/>
      <c r="H64" s="12"/>
      <c r="I64" s="12"/>
      <c r="J64" s="12"/>
      <c r="K64" s="12"/>
      <c r="L64" s="12"/>
      <c r="M64" s="12"/>
      <c r="N64" s="12"/>
      <c r="O64" s="12"/>
      <c r="P64" s="12"/>
      <c r="Q64" s="12"/>
      <c r="R64" s="12"/>
      <c r="S64" s="12"/>
      <c r="T64" s="12"/>
      <c r="U64" s="12"/>
      <c r="V64" s="12"/>
      <c r="W64" s="12"/>
      <c r="X64" s="12"/>
      <c r="Y64" s="12"/>
      <c r="Z64" s="12"/>
    </row>
    <row r="65" spans="1:26" ht="13.5" customHeight="1" x14ac:dyDescent="0.25">
      <c r="A65" s="16" t="s">
        <v>178</v>
      </c>
      <c r="B65" s="11" t="s">
        <v>193</v>
      </c>
      <c r="C65" s="17">
        <v>320</v>
      </c>
      <c r="D65" s="17">
        <v>1090</v>
      </c>
      <c r="E65" s="18" t="s">
        <v>194</v>
      </c>
      <c r="F65" s="12"/>
      <c r="G65" s="12"/>
      <c r="H65" s="12"/>
      <c r="I65" s="12"/>
      <c r="J65" s="12"/>
      <c r="K65" s="12"/>
      <c r="L65" s="12"/>
      <c r="M65" s="12"/>
      <c r="N65" s="12"/>
      <c r="O65" s="12"/>
      <c r="P65" s="12"/>
      <c r="Q65" s="12"/>
      <c r="R65" s="12"/>
      <c r="S65" s="12"/>
      <c r="T65" s="12"/>
      <c r="U65" s="12"/>
      <c r="V65" s="12"/>
      <c r="W65" s="12"/>
      <c r="X65" s="12"/>
      <c r="Y65" s="12"/>
      <c r="Z65" s="12"/>
    </row>
    <row r="66" spans="1:26" ht="13.5" customHeight="1" x14ac:dyDescent="0.25">
      <c r="A66" s="16" t="s">
        <v>178</v>
      </c>
      <c r="B66" s="11" t="s">
        <v>195</v>
      </c>
      <c r="C66" s="17">
        <v>283</v>
      </c>
      <c r="D66" s="17">
        <v>605</v>
      </c>
      <c r="E66" s="18" t="s">
        <v>196</v>
      </c>
      <c r="F66" s="12"/>
      <c r="G66" s="12"/>
      <c r="H66" s="12"/>
      <c r="I66" s="12"/>
      <c r="J66" s="12"/>
      <c r="K66" s="12"/>
      <c r="L66" s="12"/>
      <c r="M66" s="12"/>
      <c r="N66" s="12"/>
      <c r="O66" s="12"/>
      <c r="P66" s="12"/>
      <c r="Q66" s="12"/>
      <c r="R66" s="12"/>
      <c r="S66" s="12"/>
      <c r="T66" s="12"/>
      <c r="U66" s="12"/>
      <c r="V66" s="12"/>
      <c r="W66" s="12"/>
      <c r="X66" s="12"/>
      <c r="Y66" s="12"/>
      <c r="Z66" s="12"/>
    </row>
    <row r="67" spans="1:26" ht="13.5" customHeight="1" x14ac:dyDescent="0.25">
      <c r="A67" s="16" t="s">
        <v>178</v>
      </c>
      <c r="B67" s="11" t="s">
        <v>197</v>
      </c>
      <c r="C67" s="17">
        <v>230</v>
      </c>
      <c r="D67" s="17">
        <v>681</v>
      </c>
      <c r="E67" s="18" t="s">
        <v>198</v>
      </c>
      <c r="F67" s="12"/>
      <c r="G67" s="12"/>
      <c r="H67" s="12"/>
      <c r="I67" s="12"/>
      <c r="J67" s="12"/>
      <c r="K67" s="12"/>
      <c r="L67" s="12"/>
      <c r="M67" s="12"/>
      <c r="N67" s="12"/>
      <c r="O67" s="12"/>
      <c r="P67" s="12"/>
      <c r="Q67" s="12"/>
      <c r="R67" s="12"/>
      <c r="S67" s="12"/>
      <c r="T67" s="12"/>
      <c r="U67" s="12"/>
      <c r="V67" s="12"/>
      <c r="W67" s="12"/>
      <c r="X67" s="12"/>
      <c r="Y67" s="12"/>
      <c r="Z67" s="12"/>
    </row>
    <row r="68" spans="1:26" ht="13.5" customHeight="1" x14ac:dyDescent="0.25">
      <c r="A68" s="16" t="s">
        <v>178</v>
      </c>
      <c r="B68" s="11" t="s">
        <v>199</v>
      </c>
      <c r="C68" s="17">
        <v>155</v>
      </c>
      <c r="D68" s="17">
        <v>573</v>
      </c>
      <c r="E68" s="18" t="s">
        <v>200</v>
      </c>
      <c r="F68" s="12"/>
      <c r="G68" s="12"/>
      <c r="H68" s="12"/>
      <c r="I68" s="12"/>
      <c r="J68" s="12"/>
      <c r="K68" s="12"/>
      <c r="L68" s="12"/>
      <c r="M68" s="12"/>
      <c r="N68" s="12"/>
      <c r="O68" s="12"/>
      <c r="P68" s="12"/>
      <c r="Q68" s="12"/>
      <c r="R68" s="12"/>
      <c r="S68" s="12"/>
      <c r="T68" s="12"/>
      <c r="U68" s="12"/>
      <c r="V68" s="12"/>
      <c r="W68" s="12"/>
      <c r="X68" s="12"/>
      <c r="Y68" s="12"/>
      <c r="Z68" s="12"/>
    </row>
    <row r="69" spans="1:26" ht="13.5" customHeight="1" x14ac:dyDescent="0.25">
      <c r="A69" s="16" t="s">
        <v>178</v>
      </c>
      <c r="B69" s="11" t="s">
        <v>201</v>
      </c>
      <c r="C69" s="17">
        <v>135</v>
      </c>
      <c r="D69" s="17">
        <v>385</v>
      </c>
      <c r="E69" s="18" t="s">
        <v>202</v>
      </c>
      <c r="F69" s="12"/>
      <c r="G69" s="12"/>
      <c r="H69" s="12"/>
      <c r="I69" s="12"/>
      <c r="J69" s="12"/>
      <c r="K69" s="12"/>
      <c r="L69" s="12"/>
      <c r="M69" s="12"/>
      <c r="N69" s="12"/>
      <c r="O69" s="12"/>
      <c r="P69" s="12"/>
      <c r="Q69" s="12"/>
      <c r="R69" s="12"/>
      <c r="S69" s="12"/>
      <c r="T69" s="12"/>
      <c r="U69" s="12"/>
      <c r="V69" s="12"/>
      <c r="W69" s="12"/>
      <c r="X69" s="12"/>
      <c r="Y69" s="12"/>
      <c r="Z69" s="12"/>
    </row>
    <row r="70" spans="1:26" ht="13.5" customHeight="1" x14ac:dyDescent="0.25">
      <c r="A70" s="16" t="s">
        <v>178</v>
      </c>
      <c r="B70" s="11" t="s">
        <v>203</v>
      </c>
      <c r="C70" s="17">
        <v>129</v>
      </c>
      <c r="D70" s="17">
        <v>344</v>
      </c>
      <c r="E70" s="18" t="s">
        <v>204</v>
      </c>
      <c r="F70" s="12"/>
      <c r="G70" s="12"/>
      <c r="H70" s="12"/>
      <c r="I70" s="12"/>
      <c r="J70" s="12"/>
      <c r="K70" s="12"/>
      <c r="L70" s="12"/>
      <c r="M70" s="12"/>
      <c r="N70" s="12"/>
      <c r="O70" s="12"/>
      <c r="P70" s="12"/>
      <c r="Q70" s="12"/>
      <c r="R70" s="12"/>
      <c r="S70" s="12"/>
      <c r="T70" s="12"/>
      <c r="U70" s="12"/>
      <c r="V70" s="12"/>
      <c r="W70" s="12"/>
      <c r="X70" s="12"/>
      <c r="Y70" s="12"/>
      <c r="Z70" s="12"/>
    </row>
    <row r="71" spans="1:26" ht="13.5" customHeight="1" x14ac:dyDescent="0.25">
      <c r="A71" s="16" t="s">
        <v>178</v>
      </c>
      <c r="B71" s="11" t="s">
        <v>205</v>
      </c>
      <c r="C71" s="17">
        <v>124</v>
      </c>
      <c r="D71" s="17">
        <v>322</v>
      </c>
      <c r="E71" s="18" t="s">
        <v>206</v>
      </c>
      <c r="F71" s="12"/>
      <c r="G71" s="12"/>
      <c r="H71" s="12"/>
      <c r="I71" s="12"/>
      <c r="J71" s="12"/>
      <c r="K71" s="12"/>
      <c r="L71" s="12"/>
      <c r="M71" s="12"/>
      <c r="N71" s="12"/>
      <c r="O71" s="12"/>
      <c r="P71" s="12"/>
      <c r="Q71" s="12"/>
      <c r="R71" s="12"/>
      <c r="S71" s="12"/>
      <c r="T71" s="12"/>
      <c r="U71" s="12"/>
      <c r="V71" s="12"/>
      <c r="W71" s="12"/>
      <c r="X71" s="12"/>
      <c r="Y71" s="12"/>
      <c r="Z71" s="12"/>
    </row>
    <row r="72" spans="1:26" ht="13.5" customHeight="1" x14ac:dyDescent="0.25">
      <c r="A72" s="16" t="s">
        <v>178</v>
      </c>
      <c r="B72" s="11" t="s">
        <v>207</v>
      </c>
      <c r="C72" s="17">
        <v>71</v>
      </c>
      <c r="D72" s="17">
        <v>180</v>
      </c>
      <c r="E72" s="18" t="s">
        <v>208</v>
      </c>
      <c r="F72" s="12"/>
      <c r="G72" s="12"/>
      <c r="H72" s="12"/>
      <c r="I72" s="12"/>
      <c r="J72" s="12"/>
      <c r="K72" s="12"/>
      <c r="L72" s="12"/>
      <c r="M72" s="12"/>
      <c r="N72" s="12"/>
      <c r="O72" s="12"/>
      <c r="P72" s="12"/>
      <c r="Q72" s="12"/>
      <c r="R72" s="12"/>
      <c r="S72" s="12"/>
      <c r="T72" s="12"/>
      <c r="U72" s="12"/>
      <c r="V72" s="12"/>
      <c r="W72" s="12"/>
      <c r="X72" s="12"/>
      <c r="Y72" s="12"/>
      <c r="Z72" s="12"/>
    </row>
    <row r="73" spans="1:26" ht="13.5" customHeight="1" x14ac:dyDescent="0.25">
      <c r="A73" s="16" t="s">
        <v>178</v>
      </c>
      <c r="B73" s="11" t="s">
        <v>209</v>
      </c>
      <c r="C73" s="17">
        <v>71</v>
      </c>
      <c r="D73" s="17">
        <v>180</v>
      </c>
      <c r="E73" s="18" t="s">
        <v>210</v>
      </c>
      <c r="F73" s="12"/>
      <c r="G73" s="12"/>
      <c r="H73" s="12"/>
      <c r="I73" s="12"/>
      <c r="J73" s="12"/>
      <c r="K73" s="12"/>
      <c r="L73" s="12"/>
      <c r="M73" s="12"/>
      <c r="N73" s="12"/>
      <c r="O73" s="12"/>
      <c r="P73" s="12"/>
      <c r="Q73" s="12"/>
      <c r="R73" s="12"/>
      <c r="S73" s="12"/>
      <c r="T73" s="12"/>
      <c r="U73" s="12"/>
      <c r="V73" s="12"/>
      <c r="W73" s="12"/>
      <c r="X73" s="12"/>
      <c r="Y73" s="12"/>
      <c r="Z73" s="12"/>
    </row>
    <row r="74" spans="1:26" ht="13.5" customHeight="1" x14ac:dyDescent="0.25">
      <c r="A74" s="16" t="s">
        <v>178</v>
      </c>
      <c r="B74" s="11" t="s">
        <v>211</v>
      </c>
      <c r="C74" s="17">
        <v>58</v>
      </c>
      <c r="D74" s="17">
        <v>178</v>
      </c>
      <c r="E74" s="18" t="s">
        <v>212</v>
      </c>
      <c r="F74" s="12"/>
      <c r="G74" s="12"/>
      <c r="H74" s="12"/>
      <c r="I74" s="12"/>
      <c r="J74" s="12"/>
      <c r="K74" s="12"/>
      <c r="L74" s="12"/>
      <c r="M74" s="12"/>
      <c r="N74" s="12"/>
      <c r="O74" s="12"/>
      <c r="P74" s="12"/>
      <c r="Q74" s="12"/>
      <c r="R74" s="12"/>
      <c r="S74" s="12"/>
      <c r="T74" s="12"/>
      <c r="U74" s="12"/>
      <c r="V74" s="12"/>
      <c r="W74" s="12"/>
      <c r="X74" s="12"/>
      <c r="Y74" s="12"/>
      <c r="Z74" s="12"/>
    </row>
    <row r="75" spans="1:26" ht="13.5" customHeight="1" x14ac:dyDescent="0.25">
      <c r="A75" s="16" t="s">
        <v>178</v>
      </c>
      <c r="B75" s="11" t="s">
        <v>213</v>
      </c>
      <c r="C75" s="17">
        <v>34</v>
      </c>
      <c r="D75" s="17">
        <v>78</v>
      </c>
      <c r="E75" s="18" t="s">
        <v>214</v>
      </c>
      <c r="F75" s="12"/>
      <c r="G75" s="12"/>
      <c r="H75" s="12"/>
      <c r="I75" s="12"/>
      <c r="J75" s="12"/>
      <c r="K75" s="12"/>
      <c r="L75" s="12"/>
      <c r="M75" s="12"/>
      <c r="N75" s="12"/>
      <c r="O75" s="12"/>
      <c r="P75" s="12"/>
      <c r="Q75" s="12"/>
      <c r="R75" s="12"/>
      <c r="S75" s="12"/>
      <c r="T75" s="12"/>
      <c r="U75" s="12"/>
      <c r="V75" s="12"/>
      <c r="W75" s="12"/>
      <c r="X75" s="12"/>
      <c r="Y75" s="12"/>
      <c r="Z75" s="12"/>
    </row>
    <row r="76" spans="1:26" ht="13.5" customHeight="1" x14ac:dyDescent="0.25">
      <c r="A76" s="16" t="s">
        <v>178</v>
      </c>
      <c r="B76" s="11" t="s">
        <v>215</v>
      </c>
      <c r="C76" s="17">
        <v>20</v>
      </c>
      <c r="D76" s="17">
        <v>64</v>
      </c>
      <c r="E76" s="18" t="s">
        <v>216</v>
      </c>
      <c r="F76" s="12"/>
      <c r="G76" s="12"/>
      <c r="H76" s="12"/>
      <c r="I76" s="12"/>
      <c r="J76" s="12"/>
      <c r="K76" s="12"/>
      <c r="L76" s="12"/>
      <c r="M76" s="12"/>
      <c r="N76" s="12"/>
      <c r="O76" s="12"/>
      <c r="P76" s="12"/>
      <c r="Q76" s="12"/>
      <c r="R76" s="12"/>
      <c r="S76" s="12"/>
      <c r="T76" s="12"/>
      <c r="U76" s="12"/>
      <c r="V76" s="12"/>
      <c r="W76" s="12"/>
      <c r="X76" s="12"/>
      <c r="Y76" s="12"/>
      <c r="Z76" s="12"/>
    </row>
    <row r="77" spans="1:26" ht="13.5" customHeight="1" x14ac:dyDescent="0.25">
      <c r="A77" s="16" t="s">
        <v>178</v>
      </c>
      <c r="B77" s="11" t="s">
        <v>217</v>
      </c>
      <c r="C77" s="17">
        <v>17</v>
      </c>
      <c r="D77" s="17">
        <v>32</v>
      </c>
      <c r="E77" s="18" t="s">
        <v>218</v>
      </c>
      <c r="F77" s="12"/>
      <c r="G77" s="12"/>
      <c r="H77" s="12"/>
      <c r="I77" s="12"/>
      <c r="J77" s="12"/>
      <c r="K77" s="12"/>
      <c r="L77" s="12"/>
      <c r="M77" s="12"/>
      <c r="N77" s="12"/>
      <c r="O77" s="12"/>
      <c r="P77" s="12"/>
      <c r="Q77" s="12"/>
      <c r="R77" s="12"/>
      <c r="S77" s="12"/>
      <c r="T77" s="12"/>
      <c r="U77" s="12"/>
      <c r="V77" s="12"/>
      <c r="W77" s="12"/>
      <c r="X77" s="12"/>
      <c r="Y77" s="12"/>
      <c r="Z77" s="12"/>
    </row>
    <row r="78" spans="1:26" ht="13.5" customHeight="1" x14ac:dyDescent="0.25">
      <c r="A78" s="16" t="s">
        <v>178</v>
      </c>
      <c r="B78" s="11" t="s">
        <v>219</v>
      </c>
      <c r="C78" s="17">
        <v>15</v>
      </c>
      <c r="D78" s="17">
        <v>32</v>
      </c>
      <c r="E78" s="18" t="s">
        <v>220</v>
      </c>
      <c r="F78" s="12"/>
      <c r="G78" s="12"/>
      <c r="H78" s="12"/>
      <c r="I78" s="12"/>
      <c r="J78" s="12"/>
      <c r="K78" s="12"/>
      <c r="L78" s="12"/>
      <c r="M78" s="12"/>
      <c r="N78" s="12"/>
      <c r="O78" s="12"/>
      <c r="P78" s="12"/>
      <c r="Q78" s="12"/>
      <c r="R78" s="12"/>
      <c r="S78" s="12"/>
      <c r="T78" s="12"/>
      <c r="U78" s="12"/>
      <c r="V78" s="12"/>
      <c r="W78" s="12"/>
      <c r="X78" s="12"/>
      <c r="Y78" s="12"/>
      <c r="Z78" s="12"/>
    </row>
    <row r="79" spans="1:26" ht="13.5" customHeight="1" x14ac:dyDescent="0.25">
      <c r="A79" s="16" t="s">
        <v>178</v>
      </c>
      <c r="B79" s="11" t="s">
        <v>221</v>
      </c>
      <c r="C79" s="17">
        <v>10</v>
      </c>
      <c r="D79" s="17">
        <v>26</v>
      </c>
      <c r="E79" s="18" t="s">
        <v>222</v>
      </c>
      <c r="F79" s="12"/>
      <c r="G79" s="12"/>
      <c r="H79" s="12"/>
      <c r="I79" s="12"/>
      <c r="J79" s="12"/>
      <c r="K79" s="12"/>
      <c r="L79" s="12"/>
      <c r="M79" s="12"/>
      <c r="N79" s="12"/>
      <c r="O79" s="12"/>
      <c r="P79" s="12"/>
      <c r="Q79" s="12"/>
      <c r="R79" s="12"/>
      <c r="S79" s="12"/>
      <c r="T79" s="12"/>
      <c r="U79" s="12"/>
      <c r="V79" s="12"/>
      <c r="W79" s="12"/>
      <c r="X79" s="12"/>
      <c r="Y79" s="12"/>
      <c r="Z79" s="12"/>
    </row>
    <row r="80" spans="1:26" ht="13.5" customHeight="1" x14ac:dyDescent="0.25">
      <c r="A80" s="16" t="s">
        <v>178</v>
      </c>
      <c r="B80" s="11" t="s">
        <v>223</v>
      </c>
      <c r="C80" s="17">
        <v>9</v>
      </c>
      <c r="D80" s="17">
        <v>15</v>
      </c>
      <c r="E80" s="18" t="s">
        <v>224</v>
      </c>
      <c r="F80" s="12"/>
      <c r="G80" s="12"/>
      <c r="H80" s="12"/>
      <c r="I80" s="12"/>
      <c r="J80" s="12"/>
      <c r="K80" s="12"/>
      <c r="L80" s="12"/>
      <c r="M80" s="12"/>
      <c r="N80" s="12"/>
      <c r="O80" s="12"/>
      <c r="P80" s="12"/>
      <c r="Q80" s="12"/>
      <c r="R80" s="12"/>
      <c r="S80" s="12"/>
      <c r="T80" s="12"/>
      <c r="U80" s="12"/>
      <c r="V80" s="12"/>
      <c r="W80" s="12"/>
      <c r="X80" s="12"/>
      <c r="Y80" s="12"/>
      <c r="Z80" s="12"/>
    </row>
    <row r="81" spans="1:26" ht="13.5" customHeight="1" x14ac:dyDescent="0.25">
      <c r="A81" s="16" t="s">
        <v>178</v>
      </c>
      <c r="B81" s="11" t="s">
        <v>225</v>
      </c>
      <c r="C81" s="17">
        <v>9</v>
      </c>
      <c r="D81" s="17">
        <v>20</v>
      </c>
      <c r="E81" s="18" t="s">
        <v>226</v>
      </c>
      <c r="F81" s="12"/>
      <c r="G81" s="12"/>
      <c r="H81" s="12"/>
      <c r="I81" s="12"/>
      <c r="J81" s="12"/>
      <c r="K81" s="12"/>
      <c r="L81" s="12"/>
      <c r="M81" s="12"/>
      <c r="N81" s="12"/>
      <c r="O81" s="12"/>
      <c r="P81" s="12"/>
      <c r="Q81" s="12"/>
      <c r="R81" s="12"/>
      <c r="S81" s="12"/>
      <c r="T81" s="12"/>
      <c r="U81" s="12"/>
      <c r="V81" s="12"/>
      <c r="W81" s="12"/>
      <c r="X81" s="12"/>
      <c r="Y81" s="12"/>
      <c r="Z81" s="12"/>
    </row>
    <row r="82" spans="1:26" ht="13.5" customHeight="1" x14ac:dyDescent="0.25">
      <c r="A82" s="16" t="s">
        <v>178</v>
      </c>
      <c r="B82" s="11" t="s">
        <v>227</v>
      </c>
      <c r="C82" s="17">
        <v>7</v>
      </c>
      <c r="D82" s="17">
        <v>57</v>
      </c>
      <c r="E82" s="18" t="s">
        <v>228</v>
      </c>
      <c r="F82" s="12"/>
      <c r="G82" s="12"/>
      <c r="H82" s="12"/>
      <c r="I82" s="12"/>
      <c r="J82" s="12"/>
      <c r="K82" s="12"/>
      <c r="L82" s="12"/>
      <c r="M82" s="12"/>
      <c r="N82" s="12"/>
      <c r="O82" s="12"/>
      <c r="P82" s="12"/>
      <c r="Q82" s="12"/>
      <c r="R82" s="12"/>
      <c r="S82" s="12"/>
      <c r="T82" s="12"/>
      <c r="U82" s="12"/>
      <c r="V82" s="12"/>
      <c r="W82" s="12"/>
      <c r="X82" s="12"/>
      <c r="Y82" s="12"/>
      <c r="Z82" s="12"/>
    </row>
    <row r="83" spans="1:26" ht="13.5" customHeight="1" x14ac:dyDescent="0.25">
      <c r="A83" s="16" t="s">
        <v>178</v>
      </c>
      <c r="B83" s="11" t="s">
        <v>229</v>
      </c>
      <c r="C83" s="17">
        <v>7</v>
      </c>
      <c r="D83" s="17">
        <v>35</v>
      </c>
      <c r="E83" s="18" t="s">
        <v>230</v>
      </c>
      <c r="F83" s="12"/>
      <c r="G83" s="12"/>
      <c r="H83" s="12"/>
      <c r="I83" s="12"/>
      <c r="J83" s="12"/>
      <c r="K83" s="12"/>
      <c r="L83" s="12"/>
      <c r="M83" s="12"/>
      <c r="N83" s="12"/>
      <c r="O83" s="12"/>
      <c r="P83" s="12"/>
      <c r="Q83" s="12"/>
      <c r="R83" s="12"/>
      <c r="S83" s="12"/>
      <c r="T83" s="12"/>
      <c r="U83" s="12"/>
      <c r="V83" s="12"/>
      <c r="W83" s="12"/>
      <c r="X83" s="12"/>
      <c r="Y83" s="12"/>
      <c r="Z83" s="12"/>
    </row>
    <row r="84" spans="1:26" ht="13.5" customHeight="1" x14ac:dyDescent="0.25">
      <c r="A84" s="16" t="s">
        <v>178</v>
      </c>
      <c r="B84" s="11" t="s">
        <v>231</v>
      </c>
      <c r="C84" s="17">
        <v>6</v>
      </c>
      <c r="D84" s="17">
        <v>12</v>
      </c>
      <c r="E84" s="18" t="s">
        <v>232</v>
      </c>
      <c r="F84" s="12"/>
      <c r="G84" s="12"/>
      <c r="H84" s="12"/>
      <c r="I84" s="12"/>
      <c r="J84" s="12"/>
      <c r="K84" s="12"/>
      <c r="L84" s="12"/>
      <c r="M84" s="12"/>
      <c r="N84" s="12"/>
      <c r="O84" s="12"/>
      <c r="P84" s="12"/>
      <c r="Q84" s="12"/>
      <c r="R84" s="12"/>
      <c r="S84" s="12"/>
      <c r="T84" s="12"/>
      <c r="U84" s="12"/>
      <c r="V84" s="12"/>
      <c r="W84" s="12"/>
      <c r="X84" s="12"/>
      <c r="Y84" s="12"/>
      <c r="Z84" s="12"/>
    </row>
    <row r="85" spans="1:26" ht="13.5" customHeight="1" x14ac:dyDescent="0.25">
      <c r="A85" s="16" t="s">
        <v>178</v>
      </c>
      <c r="B85" s="11" t="s">
        <v>233</v>
      </c>
      <c r="C85" s="17">
        <v>4</v>
      </c>
      <c r="D85" s="17">
        <v>10</v>
      </c>
      <c r="E85" s="18" t="s">
        <v>234</v>
      </c>
      <c r="F85" s="12"/>
      <c r="G85" s="12"/>
      <c r="H85" s="12"/>
      <c r="I85" s="12"/>
      <c r="J85" s="12"/>
      <c r="K85" s="12"/>
      <c r="L85" s="12"/>
      <c r="M85" s="12"/>
      <c r="N85" s="12"/>
      <c r="O85" s="12"/>
      <c r="P85" s="12"/>
      <c r="Q85" s="12"/>
      <c r="R85" s="12"/>
      <c r="S85" s="12"/>
      <c r="T85" s="12"/>
      <c r="U85" s="12"/>
      <c r="V85" s="12"/>
      <c r="W85" s="12"/>
      <c r="X85" s="12"/>
      <c r="Y85" s="12"/>
      <c r="Z85" s="12"/>
    </row>
    <row r="86" spans="1:26" ht="13.5" customHeight="1" x14ac:dyDescent="0.25">
      <c r="A86" s="16" t="s">
        <v>178</v>
      </c>
      <c r="B86" s="11" t="s">
        <v>235</v>
      </c>
      <c r="C86" s="17">
        <v>4</v>
      </c>
      <c r="D86" s="17">
        <v>14</v>
      </c>
      <c r="E86" s="18" t="s">
        <v>236</v>
      </c>
      <c r="F86" s="12"/>
      <c r="G86" s="12"/>
      <c r="H86" s="12"/>
      <c r="I86" s="12"/>
      <c r="J86" s="12"/>
      <c r="K86" s="12"/>
      <c r="L86" s="12"/>
      <c r="M86" s="12"/>
      <c r="N86" s="12"/>
      <c r="O86" s="12"/>
      <c r="P86" s="12"/>
      <c r="Q86" s="12"/>
      <c r="R86" s="12"/>
      <c r="S86" s="12"/>
      <c r="T86" s="12"/>
      <c r="U86" s="12"/>
      <c r="V86" s="12"/>
      <c r="W86" s="12"/>
      <c r="X86" s="12"/>
      <c r="Y86" s="12"/>
      <c r="Z86" s="12"/>
    </row>
    <row r="87" spans="1:26" ht="13.5" customHeight="1" x14ac:dyDescent="0.25">
      <c r="A87" s="16" t="s">
        <v>178</v>
      </c>
      <c r="B87" s="11" t="s">
        <v>237</v>
      </c>
      <c r="C87" s="17">
        <v>4</v>
      </c>
      <c r="D87" s="17">
        <v>16</v>
      </c>
      <c r="E87" s="18" t="s">
        <v>238</v>
      </c>
      <c r="F87" s="12"/>
      <c r="G87" s="12"/>
      <c r="H87" s="12"/>
      <c r="I87" s="12"/>
      <c r="J87" s="12"/>
      <c r="K87" s="12"/>
      <c r="L87" s="12"/>
      <c r="M87" s="12"/>
      <c r="N87" s="12"/>
      <c r="O87" s="12"/>
      <c r="P87" s="12"/>
      <c r="Q87" s="12"/>
      <c r="R87" s="12"/>
      <c r="S87" s="12"/>
      <c r="T87" s="12"/>
      <c r="U87" s="12"/>
      <c r="V87" s="12"/>
      <c r="W87" s="12"/>
      <c r="X87" s="12"/>
      <c r="Y87" s="12"/>
      <c r="Z87" s="12"/>
    </row>
    <row r="88" spans="1:26" ht="13.5" customHeight="1" x14ac:dyDescent="0.25">
      <c r="A88" s="16" t="s">
        <v>178</v>
      </c>
      <c r="B88" s="11" t="s">
        <v>239</v>
      </c>
      <c r="C88" s="17">
        <v>3</v>
      </c>
      <c r="D88" s="17">
        <v>21</v>
      </c>
      <c r="E88" s="18" t="s">
        <v>240</v>
      </c>
      <c r="F88" s="12"/>
      <c r="G88" s="12"/>
      <c r="H88" s="12"/>
      <c r="I88" s="12"/>
      <c r="J88" s="12"/>
      <c r="K88" s="12"/>
      <c r="L88" s="12"/>
      <c r="M88" s="12"/>
      <c r="N88" s="12"/>
      <c r="O88" s="12"/>
      <c r="P88" s="12"/>
      <c r="Q88" s="12"/>
      <c r="R88" s="12"/>
      <c r="S88" s="12"/>
      <c r="T88" s="12"/>
      <c r="U88" s="12"/>
      <c r="V88" s="12"/>
      <c r="W88" s="12"/>
      <c r="X88" s="12"/>
      <c r="Y88" s="12"/>
      <c r="Z88" s="12"/>
    </row>
    <row r="89" spans="1:26" ht="13.5" customHeight="1" x14ac:dyDescent="0.25">
      <c r="A89" s="16" t="s">
        <v>178</v>
      </c>
      <c r="B89" s="11" t="s">
        <v>241</v>
      </c>
      <c r="C89" s="17">
        <v>3</v>
      </c>
      <c r="D89" s="17">
        <v>8</v>
      </c>
      <c r="E89" s="18" t="s">
        <v>242</v>
      </c>
      <c r="F89" s="12"/>
      <c r="G89" s="12"/>
      <c r="H89" s="12"/>
      <c r="I89" s="12"/>
      <c r="J89" s="12"/>
      <c r="K89" s="12"/>
      <c r="L89" s="12"/>
      <c r="M89" s="12"/>
      <c r="N89" s="12"/>
      <c r="O89" s="12"/>
      <c r="P89" s="12"/>
      <c r="Q89" s="12"/>
      <c r="R89" s="12"/>
      <c r="S89" s="12"/>
      <c r="T89" s="12"/>
      <c r="U89" s="12"/>
      <c r="V89" s="12"/>
      <c r="W89" s="12"/>
      <c r="X89" s="12"/>
      <c r="Y89" s="12"/>
      <c r="Z89" s="12"/>
    </row>
    <row r="90" spans="1:26" ht="13.5" customHeight="1" x14ac:dyDescent="0.25">
      <c r="A90" s="16" t="s">
        <v>178</v>
      </c>
      <c r="B90" s="11" t="s">
        <v>243</v>
      </c>
      <c r="C90" s="17">
        <v>3</v>
      </c>
      <c r="D90" s="17">
        <v>24</v>
      </c>
      <c r="E90" s="18" t="s">
        <v>244</v>
      </c>
      <c r="F90" s="12"/>
      <c r="G90" s="12"/>
      <c r="H90" s="12"/>
      <c r="I90" s="12"/>
      <c r="J90" s="12"/>
      <c r="K90" s="12"/>
      <c r="L90" s="12"/>
      <c r="M90" s="12"/>
      <c r="N90" s="12"/>
      <c r="O90" s="12"/>
      <c r="P90" s="12"/>
      <c r="Q90" s="12"/>
      <c r="R90" s="12"/>
      <c r="S90" s="12"/>
      <c r="T90" s="12"/>
      <c r="U90" s="12"/>
      <c r="V90" s="12"/>
      <c r="W90" s="12"/>
      <c r="X90" s="12"/>
      <c r="Y90" s="12"/>
      <c r="Z90" s="12"/>
    </row>
    <row r="91" spans="1:26" ht="13.5" customHeight="1" x14ac:dyDescent="0.25">
      <c r="A91" s="19" t="s">
        <v>178</v>
      </c>
      <c r="B91" s="20" t="s">
        <v>245</v>
      </c>
      <c r="C91" s="21">
        <v>3</v>
      </c>
      <c r="D91" s="21">
        <v>10</v>
      </c>
      <c r="E91" s="22" t="s">
        <v>246</v>
      </c>
      <c r="F91" s="12"/>
      <c r="G91" s="12"/>
      <c r="H91" s="12"/>
      <c r="I91" s="12"/>
      <c r="J91" s="12"/>
      <c r="K91" s="12"/>
      <c r="L91" s="12"/>
      <c r="M91" s="12"/>
      <c r="N91" s="12"/>
      <c r="O91" s="12"/>
      <c r="P91" s="12"/>
      <c r="Q91" s="12"/>
      <c r="R91" s="12"/>
      <c r="S91" s="12"/>
      <c r="T91" s="12"/>
      <c r="U91" s="12"/>
      <c r="V91" s="12"/>
      <c r="W91" s="12"/>
      <c r="X91" s="12"/>
      <c r="Y91" s="12"/>
      <c r="Z91" s="12"/>
    </row>
    <row r="92" spans="1:26" ht="13.5" customHeight="1" x14ac:dyDescent="0.25">
      <c r="A92" s="23" t="s">
        <v>247</v>
      </c>
      <c r="B92" s="24" t="s">
        <v>248</v>
      </c>
      <c r="C92" s="25">
        <v>4751</v>
      </c>
      <c r="D92" s="25">
        <v>14611</v>
      </c>
      <c r="E92" s="26" t="s">
        <v>249</v>
      </c>
      <c r="F92" s="12"/>
      <c r="G92" s="12"/>
      <c r="H92" s="12"/>
      <c r="I92" s="12"/>
      <c r="J92" s="12"/>
      <c r="K92" s="12"/>
      <c r="L92" s="12"/>
      <c r="M92" s="12"/>
      <c r="N92" s="12"/>
      <c r="O92" s="12"/>
      <c r="P92" s="12"/>
      <c r="Q92" s="12"/>
      <c r="R92" s="12"/>
      <c r="S92" s="12"/>
      <c r="T92" s="12"/>
      <c r="U92" s="12"/>
      <c r="V92" s="12"/>
      <c r="W92" s="12"/>
      <c r="X92" s="12"/>
      <c r="Y92" s="12"/>
      <c r="Z92" s="12"/>
    </row>
    <row r="93" spans="1:26" ht="13.5" customHeight="1" x14ac:dyDescent="0.25">
      <c r="A93" s="16" t="s">
        <v>247</v>
      </c>
      <c r="B93" s="11" t="s">
        <v>250</v>
      </c>
      <c r="C93" s="17">
        <v>3382</v>
      </c>
      <c r="D93" s="17">
        <v>8249</v>
      </c>
      <c r="E93" s="18" t="s">
        <v>251</v>
      </c>
      <c r="F93" s="12"/>
      <c r="G93" s="12"/>
      <c r="H93" s="12"/>
      <c r="I93" s="12"/>
      <c r="J93" s="12"/>
      <c r="K93" s="12"/>
      <c r="L93" s="12"/>
      <c r="M93" s="12"/>
      <c r="N93" s="12"/>
      <c r="O93" s="12"/>
      <c r="P93" s="12"/>
      <c r="Q93" s="12"/>
      <c r="R93" s="12"/>
      <c r="S93" s="12"/>
      <c r="T93" s="12"/>
      <c r="U93" s="12"/>
      <c r="V93" s="12"/>
      <c r="W93" s="12"/>
      <c r="X93" s="12"/>
      <c r="Y93" s="12"/>
      <c r="Z93" s="12"/>
    </row>
    <row r="94" spans="1:26" ht="13.5" customHeight="1" x14ac:dyDescent="0.25">
      <c r="A94" s="16" t="s">
        <v>247</v>
      </c>
      <c r="B94" s="11" t="s">
        <v>252</v>
      </c>
      <c r="C94" s="17">
        <v>1968</v>
      </c>
      <c r="D94" s="17">
        <v>11980</v>
      </c>
      <c r="E94" s="18" t="s">
        <v>253</v>
      </c>
      <c r="F94" s="12"/>
      <c r="G94" s="12"/>
      <c r="H94" s="12"/>
      <c r="I94" s="12"/>
      <c r="J94" s="12"/>
      <c r="K94" s="12"/>
      <c r="L94" s="12"/>
      <c r="M94" s="12"/>
      <c r="N94" s="12"/>
      <c r="O94" s="12"/>
      <c r="P94" s="12"/>
      <c r="Q94" s="12"/>
      <c r="R94" s="12"/>
      <c r="S94" s="12"/>
      <c r="T94" s="12"/>
      <c r="U94" s="12"/>
      <c r="V94" s="12"/>
      <c r="W94" s="12"/>
      <c r="X94" s="12"/>
      <c r="Y94" s="12"/>
      <c r="Z94" s="12"/>
    </row>
    <row r="95" spans="1:26" ht="13.5" customHeight="1" x14ac:dyDescent="0.25">
      <c r="A95" s="16" t="s">
        <v>247</v>
      </c>
      <c r="B95" s="11" t="s">
        <v>254</v>
      </c>
      <c r="C95" s="17">
        <v>814</v>
      </c>
      <c r="D95" s="17">
        <v>3157</v>
      </c>
      <c r="E95" s="18" t="s">
        <v>255</v>
      </c>
      <c r="F95" s="12"/>
      <c r="G95" s="12"/>
      <c r="H95" s="12"/>
      <c r="I95" s="12"/>
      <c r="J95" s="12"/>
      <c r="K95" s="12"/>
      <c r="L95" s="12"/>
      <c r="M95" s="12"/>
      <c r="N95" s="12"/>
      <c r="O95" s="12"/>
      <c r="P95" s="12"/>
      <c r="Q95" s="12"/>
      <c r="R95" s="12"/>
      <c r="S95" s="12"/>
      <c r="T95" s="12"/>
      <c r="U95" s="12"/>
      <c r="V95" s="12"/>
      <c r="W95" s="12"/>
      <c r="X95" s="12"/>
      <c r="Y95" s="12"/>
      <c r="Z95" s="12"/>
    </row>
    <row r="96" spans="1:26" ht="13.5" customHeight="1" x14ac:dyDescent="0.25">
      <c r="A96" s="16" t="s">
        <v>247</v>
      </c>
      <c r="B96" s="11" t="s">
        <v>256</v>
      </c>
      <c r="C96" s="17">
        <v>577</v>
      </c>
      <c r="D96" s="17">
        <v>2080</v>
      </c>
      <c r="E96" s="18" t="s">
        <v>257</v>
      </c>
      <c r="F96" s="12"/>
      <c r="G96" s="12"/>
      <c r="H96" s="12"/>
      <c r="I96" s="12"/>
      <c r="J96" s="12"/>
      <c r="K96" s="12"/>
      <c r="L96" s="12"/>
      <c r="M96" s="12"/>
      <c r="N96" s="12"/>
      <c r="O96" s="12"/>
      <c r="P96" s="12"/>
      <c r="Q96" s="12"/>
      <c r="R96" s="12"/>
      <c r="S96" s="12"/>
      <c r="T96" s="12"/>
      <c r="U96" s="12"/>
      <c r="V96" s="12"/>
      <c r="W96" s="12"/>
      <c r="X96" s="12"/>
      <c r="Y96" s="12"/>
      <c r="Z96" s="12"/>
    </row>
    <row r="97" spans="1:26" ht="13.5" customHeight="1" x14ac:dyDescent="0.25">
      <c r="A97" s="16" t="s">
        <v>247</v>
      </c>
      <c r="B97" s="11" t="s">
        <v>258</v>
      </c>
      <c r="C97" s="17">
        <v>525</v>
      </c>
      <c r="D97" s="17">
        <v>1619</v>
      </c>
      <c r="E97" s="18" t="s">
        <v>259</v>
      </c>
      <c r="F97" s="12"/>
      <c r="G97" s="12"/>
      <c r="H97" s="12"/>
      <c r="I97" s="12"/>
      <c r="J97" s="12"/>
      <c r="K97" s="12"/>
      <c r="L97" s="12"/>
      <c r="M97" s="12"/>
      <c r="N97" s="12"/>
      <c r="O97" s="12"/>
      <c r="P97" s="12"/>
      <c r="Q97" s="12"/>
      <c r="R97" s="12"/>
      <c r="S97" s="12"/>
      <c r="T97" s="12"/>
      <c r="U97" s="12"/>
      <c r="V97" s="12"/>
      <c r="W97" s="12"/>
      <c r="X97" s="12"/>
      <c r="Y97" s="12"/>
      <c r="Z97" s="12"/>
    </row>
    <row r="98" spans="1:26" ht="13.5" customHeight="1" x14ac:dyDescent="0.25">
      <c r="A98" s="16" t="s">
        <v>247</v>
      </c>
      <c r="B98" s="11" t="s">
        <v>260</v>
      </c>
      <c r="C98" s="17">
        <v>430</v>
      </c>
      <c r="D98" s="17">
        <v>1359</v>
      </c>
      <c r="E98" s="18" t="s">
        <v>261</v>
      </c>
      <c r="F98" s="12"/>
      <c r="G98" s="12"/>
      <c r="H98" s="12"/>
      <c r="I98" s="12"/>
      <c r="J98" s="12"/>
      <c r="K98" s="12"/>
      <c r="L98" s="12"/>
      <c r="M98" s="12"/>
      <c r="N98" s="12"/>
      <c r="O98" s="12"/>
      <c r="P98" s="12"/>
      <c r="Q98" s="12"/>
      <c r="R98" s="12"/>
      <c r="S98" s="12"/>
      <c r="T98" s="12"/>
      <c r="U98" s="12"/>
      <c r="V98" s="12"/>
      <c r="W98" s="12"/>
      <c r="X98" s="12"/>
      <c r="Y98" s="12"/>
      <c r="Z98" s="12"/>
    </row>
    <row r="99" spans="1:26" ht="13.5" customHeight="1" x14ac:dyDescent="0.25">
      <c r="A99" s="16" t="s">
        <v>247</v>
      </c>
      <c r="B99" s="11" t="s">
        <v>262</v>
      </c>
      <c r="C99" s="17">
        <v>350</v>
      </c>
      <c r="D99" s="17">
        <v>1042</v>
      </c>
      <c r="E99" s="18" t="s">
        <v>263</v>
      </c>
      <c r="F99" s="12"/>
      <c r="G99" s="12"/>
      <c r="H99" s="12"/>
      <c r="I99" s="12"/>
      <c r="J99" s="12"/>
      <c r="K99" s="12"/>
      <c r="L99" s="12"/>
      <c r="M99" s="12"/>
      <c r="N99" s="12"/>
      <c r="O99" s="12"/>
      <c r="P99" s="12"/>
      <c r="Q99" s="12"/>
      <c r="R99" s="12"/>
      <c r="S99" s="12"/>
      <c r="T99" s="12"/>
      <c r="U99" s="12"/>
      <c r="V99" s="12"/>
      <c r="W99" s="12"/>
      <c r="X99" s="12"/>
      <c r="Y99" s="12"/>
      <c r="Z99" s="12"/>
    </row>
    <row r="100" spans="1:26" ht="13.5" customHeight="1" x14ac:dyDescent="0.25">
      <c r="A100" s="16" t="s">
        <v>247</v>
      </c>
      <c r="B100" s="11" t="s">
        <v>264</v>
      </c>
      <c r="C100" s="17">
        <v>319</v>
      </c>
      <c r="D100" s="17">
        <v>1086</v>
      </c>
      <c r="E100" s="18" t="s">
        <v>265</v>
      </c>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x14ac:dyDescent="0.25">
      <c r="A101" s="16" t="s">
        <v>247</v>
      </c>
      <c r="B101" s="11" t="s">
        <v>266</v>
      </c>
      <c r="C101" s="17">
        <v>279</v>
      </c>
      <c r="D101" s="17">
        <v>594</v>
      </c>
      <c r="E101" s="18" t="s">
        <v>267</v>
      </c>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x14ac:dyDescent="0.25">
      <c r="A102" s="16" t="s">
        <v>247</v>
      </c>
      <c r="B102" s="11" t="s">
        <v>268</v>
      </c>
      <c r="C102" s="17">
        <v>219</v>
      </c>
      <c r="D102" s="17">
        <v>662</v>
      </c>
      <c r="E102" s="18" t="s">
        <v>269</v>
      </c>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x14ac:dyDescent="0.25">
      <c r="A103" s="16" t="s">
        <v>247</v>
      </c>
      <c r="B103" s="11" t="s">
        <v>270</v>
      </c>
      <c r="C103" s="17">
        <v>201</v>
      </c>
      <c r="D103" s="17">
        <v>1464</v>
      </c>
      <c r="E103" s="18" t="s">
        <v>271</v>
      </c>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x14ac:dyDescent="0.25">
      <c r="A104" s="16" t="s">
        <v>247</v>
      </c>
      <c r="B104" s="11" t="s">
        <v>272</v>
      </c>
      <c r="C104" s="17">
        <v>129</v>
      </c>
      <c r="D104" s="17">
        <v>533</v>
      </c>
      <c r="E104" s="18" t="s">
        <v>273</v>
      </c>
      <c r="F104" s="12"/>
      <c r="G104" s="12"/>
      <c r="H104" s="12"/>
      <c r="I104" s="12"/>
      <c r="J104" s="12"/>
      <c r="K104" s="12"/>
      <c r="L104" s="12"/>
      <c r="M104" s="12"/>
      <c r="N104" s="12"/>
      <c r="O104" s="12"/>
      <c r="P104" s="12"/>
      <c r="Q104" s="12"/>
      <c r="R104" s="12"/>
      <c r="S104" s="12"/>
      <c r="T104" s="12"/>
      <c r="U104" s="12"/>
      <c r="V104" s="12"/>
      <c r="W104" s="12"/>
      <c r="X104" s="12"/>
      <c r="Y104" s="12"/>
      <c r="Z104" s="12"/>
    </row>
    <row r="105" spans="1:26" ht="13.5" customHeight="1" x14ac:dyDescent="0.25">
      <c r="A105" s="16" t="s">
        <v>247</v>
      </c>
      <c r="B105" s="11" t="s">
        <v>274</v>
      </c>
      <c r="C105" s="17">
        <v>128</v>
      </c>
      <c r="D105" s="17">
        <v>335</v>
      </c>
      <c r="E105" s="18" t="s">
        <v>275</v>
      </c>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x14ac:dyDescent="0.25">
      <c r="A106" s="16" t="s">
        <v>247</v>
      </c>
      <c r="B106" s="11" t="s">
        <v>276</v>
      </c>
      <c r="C106" s="17">
        <v>124</v>
      </c>
      <c r="D106" s="17">
        <v>322</v>
      </c>
      <c r="E106" s="18" t="s">
        <v>277</v>
      </c>
      <c r="F106" s="12"/>
      <c r="G106" s="12"/>
      <c r="H106" s="12"/>
      <c r="I106" s="12"/>
      <c r="J106" s="12"/>
      <c r="K106" s="12"/>
      <c r="L106" s="12"/>
      <c r="M106" s="12"/>
      <c r="N106" s="12"/>
      <c r="O106" s="12"/>
      <c r="P106" s="12"/>
      <c r="Q106" s="12"/>
      <c r="R106" s="12"/>
      <c r="S106" s="12"/>
      <c r="T106" s="12"/>
      <c r="U106" s="12"/>
      <c r="V106" s="12"/>
      <c r="W106" s="12"/>
      <c r="X106" s="12"/>
      <c r="Y106" s="12"/>
      <c r="Z106" s="12"/>
    </row>
    <row r="107" spans="1:26" ht="13.5" customHeight="1" x14ac:dyDescent="0.25">
      <c r="A107" s="16" t="s">
        <v>247</v>
      </c>
      <c r="B107" s="11" t="s">
        <v>278</v>
      </c>
      <c r="C107" s="17">
        <v>104</v>
      </c>
      <c r="D107" s="17">
        <v>326</v>
      </c>
      <c r="E107" s="18" t="s">
        <v>279</v>
      </c>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x14ac:dyDescent="0.25">
      <c r="A108" s="16" t="s">
        <v>247</v>
      </c>
      <c r="B108" s="11" t="s">
        <v>280</v>
      </c>
      <c r="C108" s="17">
        <v>92</v>
      </c>
      <c r="D108" s="17">
        <v>279</v>
      </c>
      <c r="E108" s="18" t="s">
        <v>281</v>
      </c>
      <c r="F108" s="12"/>
      <c r="G108" s="12"/>
      <c r="H108" s="12"/>
      <c r="I108" s="12"/>
      <c r="J108" s="12"/>
      <c r="K108" s="12"/>
      <c r="L108" s="12"/>
      <c r="M108" s="12"/>
      <c r="N108" s="12"/>
      <c r="O108" s="12"/>
      <c r="P108" s="12"/>
      <c r="Q108" s="12"/>
      <c r="R108" s="12"/>
      <c r="S108" s="12"/>
      <c r="T108" s="12"/>
      <c r="U108" s="12"/>
      <c r="V108" s="12"/>
      <c r="W108" s="12"/>
      <c r="X108" s="12"/>
      <c r="Y108" s="12"/>
      <c r="Z108" s="12"/>
    </row>
    <row r="109" spans="1:26" ht="13.5" customHeight="1" x14ac:dyDescent="0.25">
      <c r="A109" s="16" t="s">
        <v>247</v>
      </c>
      <c r="B109" s="11" t="s">
        <v>282</v>
      </c>
      <c r="C109" s="17">
        <v>86</v>
      </c>
      <c r="D109" s="17">
        <v>421</v>
      </c>
      <c r="E109" s="18" t="s">
        <v>283</v>
      </c>
      <c r="F109" s="12"/>
      <c r="G109" s="12"/>
      <c r="H109" s="12"/>
      <c r="I109" s="12"/>
      <c r="J109" s="12"/>
      <c r="K109" s="12"/>
      <c r="L109" s="12"/>
      <c r="M109" s="12"/>
      <c r="N109" s="12"/>
      <c r="O109" s="12"/>
      <c r="P109" s="12"/>
      <c r="Q109" s="12"/>
      <c r="R109" s="12"/>
      <c r="S109" s="12"/>
      <c r="T109" s="12"/>
      <c r="U109" s="12"/>
      <c r="V109" s="12"/>
      <c r="W109" s="12"/>
      <c r="X109" s="12"/>
      <c r="Y109" s="12"/>
      <c r="Z109" s="12"/>
    </row>
    <row r="110" spans="1:26" ht="13.5" customHeight="1" x14ac:dyDescent="0.25">
      <c r="A110" s="16" t="s">
        <v>247</v>
      </c>
      <c r="B110" s="11" t="s">
        <v>284</v>
      </c>
      <c r="C110" s="17">
        <v>63</v>
      </c>
      <c r="D110" s="17">
        <v>137</v>
      </c>
      <c r="E110" s="18" t="s">
        <v>285</v>
      </c>
      <c r="F110" s="12"/>
      <c r="G110" s="12"/>
      <c r="H110" s="12"/>
      <c r="I110" s="12"/>
      <c r="J110" s="12"/>
      <c r="K110" s="12"/>
      <c r="L110" s="12"/>
      <c r="M110" s="12"/>
      <c r="N110" s="12"/>
      <c r="O110" s="12"/>
      <c r="P110" s="12"/>
      <c r="Q110" s="12"/>
      <c r="R110" s="12"/>
      <c r="S110" s="12"/>
      <c r="T110" s="12"/>
      <c r="U110" s="12"/>
      <c r="V110" s="12"/>
      <c r="W110" s="12"/>
      <c r="X110" s="12"/>
      <c r="Y110" s="12"/>
      <c r="Z110" s="12"/>
    </row>
    <row r="111" spans="1:26" ht="13.5" customHeight="1" x14ac:dyDescent="0.25">
      <c r="A111" s="16" t="s">
        <v>247</v>
      </c>
      <c r="B111" s="11" t="s">
        <v>286</v>
      </c>
      <c r="C111" s="17">
        <v>59</v>
      </c>
      <c r="D111" s="17">
        <v>111</v>
      </c>
      <c r="E111" s="18" t="s">
        <v>287</v>
      </c>
      <c r="F111" s="12"/>
      <c r="G111" s="12"/>
      <c r="H111" s="12"/>
      <c r="I111" s="12"/>
      <c r="J111" s="12"/>
      <c r="K111" s="12"/>
      <c r="L111" s="12"/>
      <c r="M111" s="12"/>
      <c r="N111" s="12"/>
      <c r="O111" s="12"/>
      <c r="P111" s="12"/>
      <c r="Q111" s="12"/>
      <c r="R111" s="12"/>
      <c r="S111" s="12"/>
      <c r="T111" s="12"/>
      <c r="U111" s="12"/>
      <c r="V111" s="12"/>
      <c r="W111" s="12"/>
      <c r="X111" s="12"/>
      <c r="Y111" s="12"/>
      <c r="Z111" s="12"/>
    </row>
    <row r="112" spans="1:26" ht="13.5" customHeight="1" x14ac:dyDescent="0.25">
      <c r="A112" s="16" t="s">
        <v>247</v>
      </c>
      <c r="B112" s="11" t="s">
        <v>288</v>
      </c>
      <c r="C112" s="17">
        <v>57</v>
      </c>
      <c r="D112" s="17">
        <v>173</v>
      </c>
      <c r="E112" s="18" t="s">
        <v>289</v>
      </c>
      <c r="F112" s="12"/>
      <c r="G112" s="12"/>
      <c r="H112" s="12"/>
      <c r="I112" s="12"/>
      <c r="J112" s="12"/>
      <c r="K112" s="12"/>
      <c r="L112" s="12"/>
      <c r="M112" s="12"/>
      <c r="N112" s="12"/>
      <c r="O112" s="12"/>
      <c r="P112" s="12"/>
      <c r="Q112" s="12"/>
      <c r="R112" s="12"/>
      <c r="S112" s="12"/>
      <c r="T112" s="12"/>
      <c r="U112" s="12"/>
      <c r="V112" s="12"/>
      <c r="W112" s="12"/>
      <c r="X112" s="12"/>
      <c r="Y112" s="12"/>
      <c r="Z112" s="12"/>
    </row>
    <row r="113" spans="1:26" ht="13.5" customHeight="1" x14ac:dyDescent="0.25">
      <c r="A113" s="16" t="s">
        <v>247</v>
      </c>
      <c r="B113" s="11" t="s">
        <v>290</v>
      </c>
      <c r="C113" s="17">
        <v>48</v>
      </c>
      <c r="D113" s="17">
        <v>113</v>
      </c>
      <c r="E113" s="18" t="s">
        <v>291</v>
      </c>
      <c r="F113" s="12"/>
      <c r="G113" s="12"/>
      <c r="H113" s="12"/>
      <c r="I113" s="12"/>
      <c r="J113" s="12"/>
      <c r="K113" s="12"/>
      <c r="L113" s="12"/>
      <c r="M113" s="12"/>
      <c r="N113" s="12"/>
      <c r="O113" s="12"/>
      <c r="P113" s="12"/>
      <c r="Q113" s="12"/>
      <c r="R113" s="12"/>
      <c r="S113" s="12"/>
      <c r="T113" s="12"/>
      <c r="U113" s="12"/>
      <c r="V113" s="12"/>
      <c r="W113" s="12"/>
      <c r="X113" s="12"/>
      <c r="Y113" s="12"/>
      <c r="Z113" s="12"/>
    </row>
    <row r="114" spans="1:26" ht="13.5" customHeight="1" x14ac:dyDescent="0.25">
      <c r="A114" s="16" t="s">
        <v>247</v>
      </c>
      <c r="B114" s="11" t="s">
        <v>292</v>
      </c>
      <c r="C114" s="17">
        <v>41</v>
      </c>
      <c r="D114" s="17">
        <v>116</v>
      </c>
      <c r="E114" s="18" t="s">
        <v>293</v>
      </c>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x14ac:dyDescent="0.25">
      <c r="A115" s="16" t="s">
        <v>247</v>
      </c>
      <c r="B115" s="11" t="s">
        <v>294</v>
      </c>
      <c r="C115" s="17">
        <v>38</v>
      </c>
      <c r="D115" s="17">
        <v>91</v>
      </c>
      <c r="E115" s="18" t="s">
        <v>295</v>
      </c>
      <c r="F115" s="12"/>
      <c r="G115" s="12"/>
      <c r="H115" s="12"/>
      <c r="I115" s="12"/>
      <c r="J115" s="12"/>
      <c r="K115" s="12"/>
      <c r="L115" s="12"/>
      <c r="M115" s="12"/>
      <c r="N115" s="12"/>
      <c r="O115" s="12"/>
      <c r="P115" s="12"/>
      <c r="Q115" s="12"/>
      <c r="R115" s="12"/>
      <c r="S115" s="12"/>
      <c r="T115" s="12"/>
      <c r="U115" s="12"/>
      <c r="V115" s="12"/>
      <c r="W115" s="12"/>
      <c r="X115" s="12"/>
      <c r="Y115" s="12"/>
      <c r="Z115" s="12"/>
    </row>
    <row r="116" spans="1:26" ht="13.5" customHeight="1" x14ac:dyDescent="0.25">
      <c r="A116" s="16" t="s">
        <v>247</v>
      </c>
      <c r="B116" s="11" t="s">
        <v>296</v>
      </c>
      <c r="C116" s="17">
        <v>34</v>
      </c>
      <c r="D116" s="17">
        <v>78</v>
      </c>
      <c r="E116" s="18" t="s">
        <v>297</v>
      </c>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x14ac:dyDescent="0.25">
      <c r="A117" s="16" t="s">
        <v>247</v>
      </c>
      <c r="B117" s="11" t="s">
        <v>298</v>
      </c>
      <c r="C117" s="17">
        <v>34</v>
      </c>
      <c r="D117" s="17">
        <v>96</v>
      </c>
      <c r="E117" s="18" t="s">
        <v>299</v>
      </c>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x14ac:dyDescent="0.25">
      <c r="A118" s="16" t="s">
        <v>247</v>
      </c>
      <c r="B118" s="11" t="s">
        <v>300</v>
      </c>
      <c r="C118" s="17">
        <v>32</v>
      </c>
      <c r="D118" s="17">
        <v>67</v>
      </c>
      <c r="E118" s="18" t="s">
        <v>301</v>
      </c>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x14ac:dyDescent="0.25">
      <c r="A119" s="16" t="s">
        <v>247</v>
      </c>
      <c r="B119" s="11" t="s">
        <v>302</v>
      </c>
      <c r="C119" s="17">
        <v>29</v>
      </c>
      <c r="D119" s="17">
        <v>56</v>
      </c>
      <c r="E119" s="18" t="s">
        <v>303</v>
      </c>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x14ac:dyDescent="0.25">
      <c r="A120" s="16" t="s">
        <v>247</v>
      </c>
      <c r="B120" s="11" t="s">
        <v>304</v>
      </c>
      <c r="C120" s="17">
        <v>23</v>
      </c>
      <c r="D120" s="17">
        <v>77</v>
      </c>
      <c r="E120" s="18" t="s">
        <v>305</v>
      </c>
      <c r="F120" s="12"/>
      <c r="G120" s="12"/>
      <c r="H120" s="12"/>
      <c r="I120" s="12"/>
      <c r="J120" s="12"/>
      <c r="K120" s="12"/>
      <c r="L120" s="12"/>
      <c r="M120" s="12"/>
      <c r="N120" s="12"/>
      <c r="O120" s="12"/>
      <c r="P120" s="12"/>
      <c r="Q120" s="12"/>
      <c r="R120" s="12"/>
      <c r="S120" s="12"/>
      <c r="T120" s="12"/>
      <c r="U120" s="12"/>
      <c r="V120" s="12"/>
      <c r="W120" s="12"/>
      <c r="X120" s="12"/>
      <c r="Y120" s="12"/>
      <c r="Z120" s="12"/>
    </row>
    <row r="121" spans="1:26" ht="13.5" customHeight="1" x14ac:dyDescent="0.25">
      <c r="A121" s="16" t="s">
        <v>247</v>
      </c>
      <c r="B121" s="11" t="s">
        <v>306</v>
      </c>
      <c r="C121" s="17">
        <v>23</v>
      </c>
      <c r="D121" s="17">
        <v>62</v>
      </c>
      <c r="E121" s="18" t="s">
        <v>307</v>
      </c>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x14ac:dyDescent="0.25">
      <c r="A122" s="16" t="s">
        <v>247</v>
      </c>
      <c r="B122" s="11" t="s">
        <v>308</v>
      </c>
      <c r="C122" s="17">
        <v>23</v>
      </c>
      <c r="D122" s="17">
        <v>52</v>
      </c>
      <c r="E122" s="18" t="s">
        <v>309</v>
      </c>
      <c r="F122" s="12"/>
      <c r="G122" s="12"/>
      <c r="H122" s="12"/>
      <c r="I122" s="12"/>
      <c r="J122" s="12"/>
      <c r="K122" s="12"/>
      <c r="L122" s="12"/>
      <c r="M122" s="12"/>
      <c r="N122" s="12"/>
      <c r="O122" s="12"/>
      <c r="P122" s="12"/>
      <c r="Q122" s="12"/>
      <c r="R122" s="12"/>
      <c r="S122" s="12"/>
      <c r="T122" s="12"/>
      <c r="U122" s="12"/>
      <c r="V122" s="12"/>
      <c r="W122" s="12"/>
      <c r="X122" s="12"/>
      <c r="Y122" s="12"/>
      <c r="Z122" s="12"/>
    </row>
    <row r="123" spans="1:26" ht="13.5" customHeight="1" x14ac:dyDescent="0.25">
      <c r="A123" s="16" t="s">
        <v>247</v>
      </c>
      <c r="B123" s="11" t="s">
        <v>310</v>
      </c>
      <c r="C123" s="17">
        <v>18</v>
      </c>
      <c r="D123" s="17">
        <v>54</v>
      </c>
      <c r="E123" s="18" t="s">
        <v>311</v>
      </c>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x14ac:dyDescent="0.25">
      <c r="A124" s="16" t="s">
        <v>247</v>
      </c>
      <c r="B124" s="11" t="s">
        <v>312</v>
      </c>
      <c r="C124" s="17">
        <v>17</v>
      </c>
      <c r="D124" s="17">
        <v>49</v>
      </c>
      <c r="E124" s="18" t="s">
        <v>313</v>
      </c>
      <c r="F124" s="12"/>
      <c r="G124" s="12"/>
      <c r="H124" s="12"/>
      <c r="I124" s="12"/>
      <c r="J124" s="12"/>
      <c r="K124" s="12"/>
      <c r="L124" s="12"/>
      <c r="M124" s="12"/>
      <c r="N124" s="12"/>
      <c r="O124" s="12"/>
      <c r="P124" s="12"/>
      <c r="Q124" s="12"/>
      <c r="R124" s="12"/>
      <c r="S124" s="12"/>
      <c r="T124" s="12"/>
      <c r="U124" s="12"/>
      <c r="V124" s="12"/>
      <c r="W124" s="12"/>
      <c r="X124" s="12"/>
      <c r="Y124" s="12"/>
      <c r="Z124" s="12"/>
    </row>
    <row r="125" spans="1:26" ht="13.5" customHeight="1" x14ac:dyDescent="0.25">
      <c r="A125" s="16" t="s">
        <v>247</v>
      </c>
      <c r="B125" s="11" t="s">
        <v>314</v>
      </c>
      <c r="C125" s="17">
        <v>15</v>
      </c>
      <c r="D125" s="17">
        <v>32</v>
      </c>
      <c r="E125" s="18" t="s">
        <v>315</v>
      </c>
      <c r="F125" s="12"/>
      <c r="G125" s="12"/>
      <c r="H125" s="12"/>
      <c r="I125" s="12"/>
      <c r="J125" s="12"/>
      <c r="K125" s="12"/>
      <c r="L125" s="12"/>
      <c r="M125" s="12"/>
      <c r="N125" s="12"/>
      <c r="O125" s="12"/>
      <c r="P125" s="12"/>
      <c r="Q125" s="12"/>
      <c r="R125" s="12"/>
      <c r="S125" s="12"/>
      <c r="T125" s="12"/>
      <c r="U125" s="12"/>
      <c r="V125" s="12"/>
      <c r="W125" s="12"/>
      <c r="X125" s="12"/>
      <c r="Y125" s="12"/>
      <c r="Z125" s="12"/>
    </row>
    <row r="126" spans="1:26" ht="13.5" customHeight="1" x14ac:dyDescent="0.25">
      <c r="A126" s="16" t="s">
        <v>247</v>
      </c>
      <c r="B126" s="11" t="s">
        <v>316</v>
      </c>
      <c r="C126" s="17">
        <v>13</v>
      </c>
      <c r="D126" s="17">
        <v>38</v>
      </c>
      <c r="E126" s="18" t="s">
        <v>317</v>
      </c>
      <c r="F126" s="12"/>
      <c r="G126" s="12"/>
      <c r="H126" s="12"/>
      <c r="I126" s="12"/>
      <c r="J126" s="12"/>
      <c r="K126" s="12"/>
      <c r="L126" s="12"/>
      <c r="M126" s="12"/>
      <c r="N126" s="12"/>
      <c r="O126" s="12"/>
      <c r="P126" s="12"/>
      <c r="Q126" s="12"/>
      <c r="R126" s="12"/>
      <c r="S126" s="12"/>
      <c r="T126" s="12"/>
      <c r="U126" s="12"/>
      <c r="V126" s="12"/>
      <c r="W126" s="12"/>
      <c r="X126" s="12"/>
      <c r="Y126" s="12"/>
      <c r="Z126" s="12"/>
    </row>
    <row r="127" spans="1:26" ht="13.5" customHeight="1" x14ac:dyDescent="0.25">
      <c r="A127" s="16" t="s">
        <v>247</v>
      </c>
      <c r="B127" s="11" t="s">
        <v>318</v>
      </c>
      <c r="C127" s="17">
        <v>10</v>
      </c>
      <c r="D127" s="17">
        <v>26</v>
      </c>
      <c r="E127" s="18" t="s">
        <v>319</v>
      </c>
      <c r="F127" s="12"/>
      <c r="G127" s="12"/>
      <c r="H127" s="12"/>
      <c r="I127" s="12"/>
      <c r="J127" s="12"/>
      <c r="K127" s="12"/>
      <c r="L127" s="12"/>
      <c r="M127" s="12"/>
      <c r="N127" s="12"/>
      <c r="O127" s="12"/>
      <c r="P127" s="12"/>
      <c r="Q127" s="12"/>
      <c r="R127" s="12"/>
      <c r="S127" s="12"/>
      <c r="T127" s="12"/>
      <c r="U127" s="12"/>
      <c r="V127" s="12"/>
      <c r="W127" s="12"/>
      <c r="X127" s="12"/>
      <c r="Y127" s="12"/>
      <c r="Z127" s="12"/>
    </row>
    <row r="128" spans="1:26" ht="13.5" customHeight="1" x14ac:dyDescent="0.25">
      <c r="A128" s="16" t="s">
        <v>247</v>
      </c>
      <c r="B128" s="11" t="s">
        <v>320</v>
      </c>
      <c r="C128" s="17">
        <v>10</v>
      </c>
      <c r="D128" s="17">
        <v>31</v>
      </c>
      <c r="E128" s="18" t="s">
        <v>321</v>
      </c>
      <c r="F128" s="12"/>
      <c r="G128" s="12"/>
      <c r="H128" s="12"/>
      <c r="I128" s="12"/>
      <c r="J128" s="12"/>
      <c r="K128" s="12"/>
      <c r="L128" s="12"/>
      <c r="M128" s="12"/>
      <c r="N128" s="12"/>
      <c r="O128" s="12"/>
      <c r="P128" s="12"/>
      <c r="Q128" s="12"/>
      <c r="R128" s="12"/>
      <c r="S128" s="12"/>
      <c r="T128" s="12"/>
      <c r="U128" s="12"/>
      <c r="V128" s="12"/>
      <c r="W128" s="12"/>
      <c r="X128" s="12"/>
      <c r="Y128" s="12"/>
      <c r="Z128" s="12"/>
    </row>
    <row r="129" spans="1:26" ht="13.5" customHeight="1" x14ac:dyDescent="0.25">
      <c r="A129" s="16" t="s">
        <v>247</v>
      </c>
      <c r="B129" s="11" t="s">
        <v>322</v>
      </c>
      <c r="C129" s="17">
        <v>10</v>
      </c>
      <c r="D129" s="17">
        <v>13</v>
      </c>
      <c r="E129" s="18" t="s">
        <v>323</v>
      </c>
      <c r="F129" s="12"/>
      <c r="G129" s="12"/>
      <c r="H129" s="12"/>
      <c r="I129" s="12"/>
      <c r="J129" s="12"/>
      <c r="K129" s="12"/>
      <c r="L129" s="12"/>
      <c r="M129" s="12"/>
      <c r="N129" s="12"/>
      <c r="O129" s="12"/>
      <c r="P129" s="12"/>
      <c r="Q129" s="12"/>
      <c r="R129" s="12"/>
      <c r="S129" s="12"/>
      <c r="T129" s="12"/>
      <c r="U129" s="12"/>
      <c r="V129" s="12"/>
      <c r="W129" s="12"/>
      <c r="X129" s="12"/>
      <c r="Y129" s="12"/>
      <c r="Z129" s="12"/>
    </row>
    <row r="130" spans="1:26" ht="13.5" customHeight="1" x14ac:dyDescent="0.25">
      <c r="A130" s="16" t="s">
        <v>247</v>
      </c>
      <c r="B130" s="11" t="s">
        <v>324</v>
      </c>
      <c r="C130" s="17">
        <v>9</v>
      </c>
      <c r="D130" s="17">
        <v>20</v>
      </c>
      <c r="E130" s="18" t="s">
        <v>325</v>
      </c>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x14ac:dyDescent="0.25">
      <c r="A131" s="16" t="s">
        <v>247</v>
      </c>
      <c r="B131" s="11" t="s">
        <v>326</v>
      </c>
      <c r="C131" s="17">
        <v>7</v>
      </c>
      <c r="D131" s="17">
        <v>49</v>
      </c>
      <c r="E131" s="18" t="s">
        <v>327</v>
      </c>
      <c r="F131" s="12"/>
      <c r="G131" s="12"/>
      <c r="H131" s="12"/>
      <c r="I131" s="12"/>
      <c r="J131" s="12"/>
      <c r="K131" s="12"/>
      <c r="L131" s="12"/>
      <c r="M131" s="12"/>
      <c r="N131" s="12"/>
      <c r="O131" s="12"/>
      <c r="P131" s="12"/>
      <c r="Q131" s="12"/>
      <c r="R131" s="12"/>
      <c r="S131" s="12"/>
      <c r="T131" s="12"/>
      <c r="U131" s="12"/>
      <c r="V131" s="12"/>
      <c r="W131" s="12"/>
      <c r="X131" s="12"/>
      <c r="Y131" s="12"/>
      <c r="Z131" s="12"/>
    </row>
    <row r="132" spans="1:26" ht="13.5" customHeight="1" x14ac:dyDescent="0.25">
      <c r="A132" s="16" t="s">
        <v>247</v>
      </c>
      <c r="B132" s="11" t="s">
        <v>328</v>
      </c>
      <c r="C132" s="17">
        <v>7</v>
      </c>
      <c r="D132" s="17">
        <v>8</v>
      </c>
      <c r="E132" s="18" t="s">
        <v>329</v>
      </c>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x14ac:dyDescent="0.25">
      <c r="A133" s="16" t="s">
        <v>247</v>
      </c>
      <c r="B133" s="11" t="s">
        <v>330</v>
      </c>
      <c r="C133" s="17">
        <v>7</v>
      </c>
      <c r="D133" s="17">
        <v>25</v>
      </c>
      <c r="E133" s="18" t="s">
        <v>331</v>
      </c>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x14ac:dyDescent="0.25">
      <c r="A134" s="16" t="s">
        <v>247</v>
      </c>
      <c r="B134" s="11" t="s">
        <v>332</v>
      </c>
      <c r="C134" s="17">
        <v>6</v>
      </c>
      <c r="D134" s="17">
        <v>46</v>
      </c>
      <c r="E134" s="18" t="s">
        <v>333</v>
      </c>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x14ac:dyDescent="0.25">
      <c r="A135" s="16" t="s">
        <v>247</v>
      </c>
      <c r="B135" s="11" t="s">
        <v>334</v>
      </c>
      <c r="C135" s="17">
        <v>6</v>
      </c>
      <c r="D135" s="17">
        <v>32</v>
      </c>
      <c r="E135" s="18" t="s">
        <v>335</v>
      </c>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x14ac:dyDescent="0.25">
      <c r="A136" s="16" t="s">
        <v>247</v>
      </c>
      <c r="B136" s="11" t="s">
        <v>336</v>
      </c>
      <c r="C136" s="17">
        <v>6</v>
      </c>
      <c r="D136" s="17">
        <v>12</v>
      </c>
      <c r="E136" s="18" t="s">
        <v>337</v>
      </c>
      <c r="F136" s="12"/>
      <c r="G136" s="12"/>
      <c r="H136" s="12"/>
      <c r="I136" s="12"/>
      <c r="J136" s="12"/>
      <c r="K136" s="12"/>
      <c r="L136" s="12"/>
      <c r="M136" s="12"/>
      <c r="N136" s="12"/>
      <c r="O136" s="12"/>
      <c r="P136" s="12"/>
      <c r="Q136" s="12"/>
      <c r="R136" s="12"/>
      <c r="S136" s="12"/>
      <c r="T136" s="12"/>
      <c r="U136" s="12"/>
      <c r="V136" s="12"/>
      <c r="W136" s="12"/>
      <c r="X136" s="12"/>
      <c r="Y136" s="12"/>
      <c r="Z136" s="12"/>
    </row>
    <row r="137" spans="1:26" ht="13.5" customHeight="1" x14ac:dyDescent="0.25">
      <c r="A137" s="16" t="s">
        <v>247</v>
      </c>
      <c r="B137" s="11" t="s">
        <v>338</v>
      </c>
      <c r="C137" s="17">
        <v>4</v>
      </c>
      <c r="D137" s="17">
        <v>10</v>
      </c>
      <c r="E137" s="18" t="s">
        <v>339</v>
      </c>
      <c r="F137" s="12"/>
      <c r="G137" s="12"/>
      <c r="H137" s="12"/>
      <c r="I137" s="12"/>
      <c r="J137" s="12"/>
      <c r="K137" s="12"/>
      <c r="L137" s="12"/>
      <c r="M137" s="12"/>
      <c r="N137" s="12"/>
      <c r="O137" s="12"/>
      <c r="P137" s="12"/>
      <c r="Q137" s="12"/>
      <c r="R137" s="12"/>
      <c r="S137" s="12"/>
      <c r="T137" s="12"/>
      <c r="U137" s="12"/>
      <c r="V137" s="12"/>
      <c r="W137" s="12"/>
      <c r="X137" s="12"/>
      <c r="Y137" s="12"/>
      <c r="Z137" s="12"/>
    </row>
    <row r="138" spans="1:26" ht="13.5" customHeight="1" x14ac:dyDescent="0.25">
      <c r="A138" s="16" t="s">
        <v>247</v>
      </c>
      <c r="B138" s="11" t="s">
        <v>340</v>
      </c>
      <c r="C138" s="17">
        <v>4</v>
      </c>
      <c r="D138" s="17">
        <v>9</v>
      </c>
      <c r="E138" s="18" t="s">
        <v>341</v>
      </c>
      <c r="F138" s="12"/>
      <c r="G138" s="12"/>
      <c r="H138" s="12"/>
      <c r="I138" s="12"/>
      <c r="J138" s="12"/>
      <c r="K138" s="12"/>
      <c r="L138" s="12"/>
      <c r="M138" s="12"/>
      <c r="N138" s="12"/>
      <c r="O138" s="12"/>
      <c r="P138" s="12"/>
      <c r="Q138" s="12"/>
      <c r="R138" s="12"/>
      <c r="S138" s="12"/>
      <c r="T138" s="12"/>
      <c r="U138" s="12"/>
      <c r="V138" s="12"/>
      <c r="W138" s="12"/>
      <c r="X138" s="12"/>
      <c r="Y138" s="12"/>
      <c r="Z138" s="12"/>
    </row>
    <row r="139" spans="1:26" ht="13.5" customHeight="1" x14ac:dyDescent="0.25">
      <c r="A139" s="16" t="s">
        <v>247</v>
      </c>
      <c r="B139" s="11" t="s">
        <v>342</v>
      </c>
      <c r="C139" s="17">
        <v>3</v>
      </c>
      <c r="D139" s="17">
        <v>30</v>
      </c>
      <c r="E139" s="18" t="s">
        <v>343</v>
      </c>
      <c r="F139" s="12"/>
      <c r="G139" s="12"/>
      <c r="H139" s="12"/>
      <c r="I139" s="12"/>
      <c r="J139" s="12"/>
      <c r="K139" s="12"/>
      <c r="L139" s="12"/>
      <c r="M139" s="12"/>
      <c r="N139" s="12"/>
      <c r="O139" s="12"/>
      <c r="P139" s="12"/>
      <c r="Q139" s="12"/>
      <c r="R139" s="12"/>
      <c r="S139" s="12"/>
      <c r="T139" s="12"/>
      <c r="U139" s="12"/>
      <c r="V139" s="12"/>
      <c r="W139" s="12"/>
      <c r="X139" s="12"/>
      <c r="Y139" s="12"/>
      <c r="Z139" s="12"/>
    </row>
    <row r="140" spans="1:26" ht="13.5" customHeight="1" x14ac:dyDescent="0.25">
      <c r="A140" s="16" t="s">
        <v>247</v>
      </c>
      <c r="B140" s="11" t="s">
        <v>344</v>
      </c>
      <c r="C140" s="17">
        <v>3</v>
      </c>
      <c r="D140" s="17">
        <v>22</v>
      </c>
      <c r="E140" s="18" t="s">
        <v>345</v>
      </c>
      <c r="F140" s="12"/>
      <c r="G140" s="12"/>
      <c r="H140" s="12"/>
      <c r="I140" s="12"/>
      <c r="J140" s="12"/>
      <c r="K140" s="12"/>
      <c r="L140" s="12"/>
      <c r="M140" s="12"/>
      <c r="N140" s="12"/>
      <c r="O140" s="12"/>
      <c r="P140" s="12"/>
      <c r="Q140" s="12"/>
      <c r="R140" s="12"/>
      <c r="S140" s="12"/>
      <c r="T140" s="12"/>
      <c r="U140" s="12"/>
      <c r="V140" s="12"/>
      <c r="W140" s="12"/>
      <c r="X140" s="12"/>
      <c r="Y140" s="12"/>
      <c r="Z140" s="12"/>
    </row>
    <row r="141" spans="1:26" ht="13.5" customHeight="1" x14ac:dyDescent="0.25">
      <c r="A141" s="16" t="s">
        <v>247</v>
      </c>
      <c r="B141" s="11" t="s">
        <v>346</v>
      </c>
      <c r="C141" s="17">
        <v>3</v>
      </c>
      <c r="D141" s="17">
        <v>4</v>
      </c>
      <c r="E141" s="18" t="s">
        <v>347</v>
      </c>
      <c r="F141" s="12"/>
      <c r="G141" s="12"/>
      <c r="H141" s="12"/>
      <c r="I141" s="12"/>
      <c r="J141" s="12"/>
      <c r="K141" s="12"/>
      <c r="L141" s="12"/>
      <c r="M141" s="12"/>
      <c r="N141" s="12"/>
      <c r="O141" s="12"/>
      <c r="P141" s="12"/>
      <c r="Q141" s="12"/>
      <c r="R141" s="12"/>
      <c r="S141" s="12"/>
      <c r="T141" s="12"/>
      <c r="U141" s="12"/>
      <c r="V141" s="12"/>
      <c r="W141" s="12"/>
      <c r="X141" s="12"/>
      <c r="Y141" s="12"/>
      <c r="Z141" s="12"/>
    </row>
    <row r="142" spans="1:26" ht="13.5" customHeight="1" x14ac:dyDescent="0.25">
      <c r="A142" s="16" t="s">
        <v>247</v>
      </c>
      <c r="B142" s="11" t="s">
        <v>348</v>
      </c>
      <c r="C142" s="17">
        <v>3</v>
      </c>
      <c r="D142" s="17">
        <v>8</v>
      </c>
      <c r="E142" s="18" t="s">
        <v>349</v>
      </c>
      <c r="F142" s="12"/>
      <c r="G142" s="12"/>
      <c r="H142" s="12"/>
      <c r="I142" s="12"/>
      <c r="J142" s="12"/>
      <c r="K142" s="12"/>
      <c r="L142" s="12"/>
      <c r="M142" s="12"/>
      <c r="N142" s="12"/>
      <c r="O142" s="12"/>
      <c r="P142" s="12"/>
      <c r="Q142" s="12"/>
      <c r="R142" s="12"/>
      <c r="S142" s="12"/>
      <c r="T142" s="12"/>
      <c r="U142" s="12"/>
      <c r="V142" s="12"/>
      <c r="W142" s="12"/>
      <c r="X142" s="12"/>
      <c r="Y142" s="12"/>
      <c r="Z142" s="12"/>
    </row>
    <row r="143" spans="1:26" ht="13.5" customHeight="1" x14ac:dyDescent="0.25">
      <c r="A143" s="16" t="s">
        <v>247</v>
      </c>
      <c r="B143" s="11" t="s">
        <v>350</v>
      </c>
      <c r="C143" s="17">
        <v>3</v>
      </c>
      <c r="D143" s="17">
        <v>24</v>
      </c>
      <c r="E143" s="18" t="s">
        <v>351</v>
      </c>
      <c r="F143" s="12"/>
      <c r="G143" s="12"/>
      <c r="H143" s="12"/>
      <c r="I143" s="12"/>
      <c r="J143" s="12"/>
      <c r="K143" s="12"/>
      <c r="L143" s="12"/>
      <c r="M143" s="12"/>
      <c r="N143" s="12"/>
      <c r="O143" s="12"/>
      <c r="P143" s="12"/>
      <c r="Q143" s="12"/>
      <c r="R143" s="12"/>
      <c r="S143" s="12"/>
      <c r="T143" s="12"/>
      <c r="U143" s="12"/>
      <c r="V143" s="12"/>
      <c r="W143" s="12"/>
      <c r="X143" s="12"/>
      <c r="Y143" s="12"/>
      <c r="Z143" s="12"/>
    </row>
    <row r="144" spans="1:26" ht="13.5" customHeight="1" x14ac:dyDescent="0.25">
      <c r="A144" s="19" t="s">
        <v>247</v>
      </c>
      <c r="B144" s="20" t="s">
        <v>352</v>
      </c>
      <c r="C144" s="21">
        <v>3</v>
      </c>
      <c r="D144" s="21">
        <v>10</v>
      </c>
      <c r="E144" s="22" t="s">
        <v>353</v>
      </c>
      <c r="F144" s="12"/>
      <c r="G144" s="12"/>
      <c r="H144" s="12"/>
      <c r="I144" s="12"/>
      <c r="J144" s="12"/>
      <c r="K144" s="12"/>
      <c r="L144" s="12"/>
      <c r="M144" s="12"/>
      <c r="N144" s="12"/>
      <c r="O144" s="12"/>
      <c r="P144" s="12"/>
      <c r="Q144" s="12"/>
      <c r="R144" s="12"/>
      <c r="S144" s="12"/>
      <c r="T144" s="12"/>
      <c r="U144" s="12"/>
      <c r="V144" s="12"/>
      <c r="W144" s="12"/>
      <c r="X144" s="12"/>
      <c r="Y144" s="12"/>
      <c r="Z144" s="12"/>
    </row>
    <row r="145" spans="1:26" ht="13.5" customHeight="1" x14ac:dyDescent="0.25">
      <c r="A145" s="23" t="s">
        <v>354</v>
      </c>
      <c r="B145" s="24" t="s">
        <v>355</v>
      </c>
      <c r="C145" s="25">
        <v>1842</v>
      </c>
      <c r="D145" s="25">
        <v>11539</v>
      </c>
      <c r="E145" s="26" t="s">
        <v>356</v>
      </c>
      <c r="F145" s="12"/>
      <c r="G145" s="12"/>
      <c r="H145" s="12"/>
      <c r="I145" s="12"/>
      <c r="J145" s="12"/>
      <c r="K145" s="12"/>
      <c r="L145" s="12"/>
      <c r="M145" s="12"/>
      <c r="N145" s="12"/>
      <c r="O145" s="12"/>
      <c r="P145" s="12"/>
      <c r="Q145" s="12"/>
      <c r="R145" s="12"/>
      <c r="S145" s="12"/>
      <c r="T145" s="12"/>
      <c r="U145" s="12"/>
      <c r="V145" s="12"/>
      <c r="W145" s="12"/>
      <c r="X145" s="12"/>
      <c r="Y145" s="12"/>
      <c r="Z145" s="12"/>
    </row>
    <row r="146" spans="1:26" ht="13.5" customHeight="1" x14ac:dyDescent="0.25">
      <c r="A146" s="16" t="s">
        <v>354</v>
      </c>
      <c r="B146" s="11" t="s">
        <v>357</v>
      </c>
      <c r="C146" s="17">
        <v>942</v>
      </c>
      <c r="D146" s="17">
        <v>2407</v>
      </c>
      <c r="E146" s="18" t="s">
        <v>358</v>
      </c>
      <c r="F146" s="12"/>
      <c r="G146" s="12"/>
      <c r="H146" s="12"/>
      <c r="I146" s="12"/>
      <c r="J146" s="12"/>
      <c r="K146" s="12"/>
      <c r="L146" s="12"/>
      <c r="M146" s="12"/>
      <c r="N146" s="12"/>
      <c r="O146" s="12"/>
      <c r="P146" s="12"/>
      <c r="Q146" s="12"/>
      <c r="R146" s="12"/>
      <c r="S146" s="12"/>
      <c r="T146" s="12"/>
      <c r="U146" s="12"/>
      <c r="V146" s="12"/>
      <c r="W146" s="12"/>
      <c r="X146" s="12"/>
      <c r="Y146" s="12"/>
      <c r="Z146" s="12"/>
    </row>
    <row r="147" spans="1:26" ht="13.5" customHeight="1" x14ac:dyDescent="0.25">
      <c r="A147" s="16" t="s">
        <v>354</v>
      </c>
      <c r="B147" s="11" t="s">
        <v>359</v>
      </c>
      <c r="C147" s="17">
        <v>648</v>
      </c>
      <c r="D147" s="17">
        <v>1714</v>
      </c>
      <c r="E147" s="18" t="s">
        <v>360</v>
      </c>
      <c r="F147" s="12"/>
      <c r="G147" s="12"/>
      <c r="H147" s="12"/>
      <c r="I147" s="12"/>
      <c r="J147" s="12"/>
      <c r="K147" s="12"/>
      <c r="L147" s="12"/>
      <c r="M147" s="12"/>
      <c r="N147" s="12"/>
      <c r="O147" s="12"/>
      <c r="P147" s="12"/>
      <c r="Q147" s="12"/>
      <c r="R147" s="12"/>
      <c r="S147" s="12"/>
      <c r="T147" s="12"/>
      <c r="U147" s="12"/>
      <c r="V147" s="12"/>
      <c r="W147" s="12"/>
      <c r="X147" s="12"/>
      <c r="Y147" s="12"/>
      <c r="Z147" s="12"/>
    </row>
    <row r="148" spans="1:26" ht="13.5" customHeight="1" x14ac:dyDescent="0.25">
      <c r="A148" s="16" t="s">
        <v>354</v>
      </c>
      <c r="B148" s="11" t="s">
        <v>361</v>
      </c>
      <c r="C148" s="17">
        <v>637</v>
      </c>
      <c r="D148" s="17">
        <v>1953</v>
      </c>
      <c r="E148" s="18" t="s">
        <v>362</v>
      </c>
      <c r="F148" s="12"/>
      <c r="G148" s="12"/>
      <c r="H148" s="12"/>
      <c r="I148" s="12"/>
      <c r="J148" s="12"/>
      <c r="K148" s="12"/>
      <c r="L148" s="12"/>
      <c r="M148" s="12"/>
      <c r="N148" s="12"/>
      <c r="O148" s="12"/>
      <c r="P148" s="12"/>
      <c r="Q148" s="12"/>
      <c r="R148" s="12"/>
      <c r="S148" s="12"/>
      <c r="T148" s="12"/>
      <c r="U148" s="12"/>
      <c r="V148" s="12"/>
      <c r="W148" s="12"/>
      <c r="X148" s="12"/>
      <c r="Y148" s="12"/>
      <c r="Z148" s="12"/>
    </row>
    <row r="149" spans="1:26" ht="13.5" customHeight="1" x14ac:dyDescent="0.25">
      <c r="A149" s="16" t="s">
        <v>354</v>
      </c>
      <c r="B149" s="11" t="s">
        <v>363</v>
      </c>
      <c r="C149" s="17">
        <v>186</v>
      </c>
      <c r="D149" s="17">
        <v>644</v>
      </c>
      <c r="E149" s="18" t="s">
        <v>364</v>
      </c>
      <c r="F149" s="12"/>
      <c r="G149" s="12"/>
      <c r="H149" s="12"/>
      <c r="I149" s="12"/>
      <c r="J149" s="12"/>
      <c r="K149" s="12"/>
      <c r="L149" s="12"/>
      <c r="M149" s="12"/>
      <c r="N149" s="12"/>
      <c r="O149" s="12"/>
      <c r="P149" s="12"/>
      <c r="Q149" s="12"/>
      <c r="R149" s="12"/>
      <c r="S149" s="12"/>
      <c r="T149" s="12"/>
      <c r="U149" s="12"/>
      <c r="V149" s="12"/>
      <c r="W149" s="12"/>
      <c r="X149" s="12"/>
      <c r="Y149" s="12"/>
      <c r="Z149" s="12"/>
    </row>
    <row r="150" spans="1:26" ht="13.5" customHeight="1" x14ac:dyDescent="0.25">
      <c r="A150" s="16" t="s">
        <v>354</v>
      </c>
      <c r="B150" s="11" t="s">
        <v>365</v>
      </c>
      <c r="C150" s="17">
        <v>185</v>
      </c>
      <c r="D150" s="17">
        <v>423</v>
      </c>
      <c r="E150" s="18" t="s">
        <v>366</v>
      </c>
      <c r="F150" s="12"/>
      <c r="G150" s="12"/>
      <c r="H150" s="12"/>
      <c r="I150" s="12"/>
      <c r="J150" s="12"/>
      <c r="K150" s="12"/>
      <c r="L150" s="12"/>
      <c r="M150" s="12"/>
      <c r="N150" s="12"/>
      <c r="O150" s="12"/>
      <c r="P150" s="12"/>
      <c r="Q150" s="12"/>
      <c r="R150" s="12"/>
      <c r="S150" s="12"/>
      <c r="T150" s="12"/>
      <c r="U150" s="12"/>
      <c r="V150" s="12"/>
      <c r="W150" s="12"/>
      <c r="X150" s="12"/>
      <c r="Y150" s="12"/>
      <c r="Z150" s="12"/>
    </row>
    <row r="151" spans="1:26" ht="13.5" customHeight="1" x14ac:dyDescent="0.25">
      <c r="A151" s="16" t="s">
        <v>354</v>
      </c>
      <c r="B151" s="11" t="s">
        <v>367</v>
      </c>
      <c r="C151" s="17">
        <v>173</v>
      </c>
      <c r="D151" s="17">
        <v>358</v>
      </c>
      <c r="E151" s="18" t="s">
        <v>368</v>
      </c>
      <c r="F151" s="12"/>
      <c r="G151" s="12"/>
      <c r="H151" s="12"/>
      <c r="I151" s="12"/>
      <c r="J151" s="12"/>
      <c r="K151" s="12"/>
      <c r="L151" s="12"/>
      <c r="M151" s="12"/>
      <c r="N151" s="12"/>
      <c r="O151" s="12"/>
      <c r="P151" s="12"/>
      <c r="Q151" s="12"/>
      <c r="R151" s="12"/>
      <c r="S151" s="12"/>
      <c r="T151" s="12"/>
      <c r="U151" s="12"/>
      <c r="V151" s="12"/>
      <c r="W151" s="12"/>
      <c r="X151" s="12"/>
      <c r="Y151" s="12"/>
      <c r="Z151" s="12"/>
    </row>
    <row r="152" spans="1:26" ht="13.5" customHeight="1" x14ac:dyDescent="0.25">
      <c r="A152" s="16" t="s">
        <v>354</v>
      </c>
      <c r="B152" s="11" t="s">
        <v>369</v>
      </c>
      <c r="C152" s="17">
        <v>169</v>
      </c>
      <c r="D152" s="17">
        <v>592</v>
      </c>
      <c r="E152" s="18" t="s">
        <v>370</v>
      </c>
      <c r="F152" s="12"/>
      <c r="G152" s="12"/>
      <c r="H152" s="12"/>
      <c r="I152" s="12"/>
      <c r="J152" s="12"/>
      <c r="K152" s="12"/>
      <c r="L152" s="12"/>
      <c r="M152" s="12"/>
      <c r="N152" s="12"/>
      <c r="O152" s="12"/>
      <c r="P152" s="12"/>
      <c r="Q152" s="12"/>
      <c r="R152" s="12"/>
      <c r="S152" s="12"/>
      <c r="T152" s="12"/>
      <c r="U152" s="12"/>
      <c r="V152" s="12"/>
      <c r="W152" s="12"/>
      <c r="X152" s="12"/>
      <c r="Y152" s="12"/>
      <c r="Z152" s="12"/>
    </row>
    <row r="153" spans="1:26" ht="13.5" customHeight="1" x14ac:dyDescent="0.25">
      <c r="A153" s="16" t="s">
        <v>354</v>
      </c>
      <c r="B153" s="11" t="s">
        <v>371</v>
      </c>
      <c r="C153" s="17">
        <v>156</v>
      </c>
      <c r="D153" s="17">
        <v>666</v>
      </c>
      <c r="E153" s="18" t="s">
        <v>372</v>
      </c>
      <c r="F153" s="12"/>
      <c r="G153" s="12"/>
      <c r="H153" s="12"/>
      <c r="I153" s="12"/>
      <c r="J153" s="12"/>
      <c r="K153" s="12"/>
      <c r="L153" s="12"/>
      <c r="M153" s="12"/>
      <c r="N153" s="12"/>
      <c r="O153" s="12"/>
      <c r="P153" s="12"/>
      <c r="Q153" s="12"/>
      <c r="R153" s="12"/>
      <c r="S153" s="12"/>
      <c r="T153" s="12"/>
      <c r="U153" s="12"/>
      <c r="V153" s="12"/>
      <c r="W153" s="12"/>
      <c r="X153" s="12"/>
      <c r="Y153" s="12"/>
      <c r="Z153" s="12"/>
    </row>
    <row r="154" spans="1:26" ht="13.5" customHeight="1" x14ac:dyDescent="0.25">
      <c r="A154" s="16" t="s">
        <v>354</v>
      </c>
      <c r="B154" s="11" t="s">
        <v>373</v>
      </c>
      <c r="C154" s="17">
        <v>129</v>
      </c>
      <c r="D154" s="17">
        <v>533</v>
      </c>
      <c r="E154" s="18" t="s">
        <v>374</v>
      </c>
      <c r="F154" s="12"/>
      <c r="G154" s="12"/>
      <c r="H154" s="12"/>
      <c r="I154" s="12"/>
      <c r="J154" s="12"/>
      <c r="K154" s="12"/>
      <c r="L154" s="12"/>
      <c r="M154" s="12"/>
      <c r="N154" s="12"/>
      <c r="O154" s="12"/>
      <c r="P154" s="12"/>
      <c r="Q154" s="12"/>
      <c r="R154" s="12"/>
      <c r="S154" s="12"/>
      <c r="T154" s="12"/>
      <c r="U154" s="12"/>
      <c r="V154" s="12"/>
      <c r="W154" s="12"/>
      <c r="X154" s="12"/>
      <c r="Y154" s="12"/>
      <c r="Z154" s="12"/>
    </row>
    <row r="155" spans="1:26" ht="13.5" customHeight="1" x14ac:dyDescent="0.25">
      <c r="A155" s="16" t="s">
        <v>354</v>
      </c>
      <c r="B155" s="11" t="s">
        <v>375</v>
      </c>
      <c r="C155" s="17">
        <v>123</v>
      </c>
      <c r="D155" s="17">
        <v>197</v>
      </c>
      <c r="E155" s="18" t="s">
        <v>376</v>
      </c>
      <c r="F155" s="12"/>
      <c r="G155" s="12"/>
      <c r="H155" s="12"/>
      <c r="I155" s="12"/>
      <c r="J155" s="12"/>
      <c r="K155" s="12"/>
      <c r="L155" s="12"/>
      <c r="M155" s="12"/>
      <c r="N155" s="12"/>
      <c r="O155" s="12"/>
      <c r="P155" s="12"/>
      <c r="Q155" s="12"/>
      <c r="R155" s="12"/>
      <c r="S155" s="12"/>
      <c r="T155" s="12"/>
      <c r="U155" s="12"/>
      <c r="V155" s="12"/>
      <c r="W155" s="12"/>
      <c r="X155" s="12"/>
      <c r="Y155" s="12"/>
      <c r="Z155" s="12"/>
    </row>
    <row r="156" spans="1:26" ht="13.5" customHeight="1" x14ac:dyDescent="0.25">
      <c r="A156" s="16" t="s">
        <v>354</v>
      </c>
      <c r="B156" s="11" t="s">
        <v>377</v>
      </c>
      <c r="C156" s="17">
        <v>119</v>
      </c>
      <c r="D156" s="17">
        <v>458</v>
      </c>
      <c r="E156" s="18" t="s">
        <v>378</v>
      </c>
      <c r="F156" s="12"/>
      <c r="G156" s="12"/>
      <c r="H156" s="12"/>
      <c r="I156" s="12"/>
      <c r="J156" s="12"/>
      <c r="K156" s="12"/>
      <c r="L156" s="12"/>
      <c r="M156" s="12"/>
      <c r="N156" s="12"/>
      <c r="O156" s="12"/>
      <c r="P156" s="12"/>
      <c r="Q156" s="12"/>
      <c r="R156" s="12"/>
      <c r="S156" s="12"/>
      <c r="T156" s="12"/>
      <c r="U156" s="12"/>
      <c r="V156" s="12"/>
      <c r="W156" s="12"/>
      <c r="X156" s="12"/>
      <c r="Y156" s="12"/>
      <c r="Z156" s="12"/>
    </row>
    <row r="157" spans="1:26" ht="13.5" customHeight="1" x14ac:dyDescent="0.25">
      <c r="A157" s="16" t="s">
        <v>354</v>
      </c>
      <c r="B157" s="11" t="s">
        <v>379</v>
      </c>
      <c r="C157" s="17">
        <v>91</v>
      </c>
      <c r="D157" s="17">
        <v>230</v>
      </c>
      <c r="E157" s="18" t="s">
        <v>380</v>
      </c>
      <c r="F157" s="12"/>
      <c r="G157" s="12"/>
      <c r="H157" s="12"/>
      <c r="I157" s="12"/>
      <c r="J157" s="12"/>
      <c r="K157" s="12"/>
      <c r="L157" s="12"/>
      <c r="M157" s="12"/>
      <c r="N157" s="12"/>
      <c r="O157" s="12"/>
      <c r="P157" s="12"/>
      <c r="Q157" s="12"/>
      <c r="R157" s="12"/>
      <c r="S157" s="12"/>
      <c r="T157" s="12"/>
      <c r="U157" s="12"/>
      <c r="V157" s="12"/>
      <c r="W157" s="12"/>
      <c r="X157" s="12"/>
      <c r="Y157" s="12"/>
      <c r="Z157" s="12"/>
    </row>
    <row r="158" spans="1:26" ht="13.5" customHeight="1" x14ac:dyDescent="0.25">
      <c r="A158" s="16" t="s">
        <v>354</v>
      </c>
      <c r="B158" s="11" t="s">
        <v>381</v>
      </c>
      <c r="C158" s="17">
        <v>90</v>
      </c>
      <c r="D158" s="17">
        <v>162</v>
      </c>
      <c r="E158" s="18" t="s">
        <v>382</v>
      </c>
      <c r="F158" s="12"/>
      <c r="G158" s="12"/>
      <c r="H158" s="12"/>
      <c r="I158" s="12"/>
      <c r="J158" s="12"/>
      <c r="K158" s="12"/>
      <c r="L158" s="12"/>
      <c r="M158" s="12"/>
      <c r="N158" s="12"/>
      <c r="O158" s="12"/>
      <c r="P158" s="12"/>
      <c r="Q158" s="12"/>
      <c r="R158" s="12"/>
      <c r="S158" s="12"/>
      <c r="T158" s="12"/>
      <c r="U158" s="12"/>
      <c r="V158" s="12"/>
      <c r="W158" s="12"/>
      <c r="X158" s="12"/>
      <c r="Y158" s="12"/>
      <c r="Z158" s="12"/>
    </row>
    <row r="159" spans="1:26" ht="13.5" customHeight="1" x14ac:dyDescent="0.25">
      <c r="A159" s="16" t="s">
        <v>354</v>
      </c>
      <c r="B159" s="11" t="s">
        <v>383</v>
      </c>
      <c r="C159" s="17">
        <v>89</v>
      </c>
      <c r="D159" s="17">
        <v>389</v>
      </c>
      <c r="E159" s="18" t="s">
        <v>384</v>
      </c>
      <c r="F159" s="12"/>
      <c r="G159" s="12"/>
      <c r="H159" s="12"/>
      <c r="I159" s="12"/>
      <c r="J159" s="12"/>
      <c r="K159" s="12"/>
      <c r="L159" s="12"/>
      <c r="M159" s="12"/>
      <c r="N159" s="12"/>
      <c r="O159" s="12"/>
      <c r="P159" s="12"/>
      <c r="Q159" s="12"/>
      <c r="R159" s="12"/>
      <c r="S159" s="12"/>
      <c r="T159" s="12"/>
      <c r="U159" s="12"/>
      <c r="V159" s="12"/>
      <c r="W159" s="12"/>
      <c r="X159" s="12"/>
      <c r="Y159" s="12"/>
      <c r="Z159" s="12"/>
    </row>
    <row r="160" spans="1:26" ht="13.5" customHeight="1" x14ac:dyDescent="0.25">
      <c r="A160" s="16" t="s">
        <v>354</v>
      </c>
      <c r="B160" s="11" t="s">
        <v>385</v>
      </c>
      <c r="C160" s="17">
        <v>84</v>
      </c>
      <c r="D160" s="17">
        <v>185</v>
      </c>
      <c r="E160" s="18" t="s">
        <v>386</v>
      </c>
      <c r="F160" s="12"/>
      <c r="G160" s="12"/>
      <c r="H160" s="12"/>
      <c r="I160" s="12"/>
      <c r="J160" s="12"/>
      <c r="K160" s="12"/>
      <c r="L160" s="12"/>
      <c r="M160" s="12"/>
      <c r="N160" s="12"/>
      <c r="O160" s="12"/>
      <c r="P160" s="12"/>
      <c r="Q160" s="12"/>
      <c r="R160" s="12"/>
      <c r="S160" s="12"/>
      <c r="T160" s="12"/>
      <c r="U160" s="12"/>
      <c r="V160" s="12"/>
      <c r="W160" s="12"/>
      <c r="X160" s="12"/>
      <c r="Y160" s="12"/>
      <c r="Z160" s="12"/>
    </row>
    <row r="161" spans="1:26" ht="13.5" customHeight="1" x14ac:dyDescent="0.25">
      <c r="A161" s="16" t="s">
        <v>354</v>
      </c>
      <c r="B161" s="11" t="s">
        <v>387</v>
      </c>
      <c r="C161" s="17">
        <v>83</v>
      </c>
      <c r="D161" s="17">
        <v>206</v>
      </c>
      <c r="E161" s="18" t="s">
        <v>388</v>
      </c>
      <c r="F161" s="12"/>
      <c r="G161" s="12"/>
      <c r="H161" s="12"/>
      <c r="I161" s="12"/>
      <c r="J161" s="12"/>
      <c r="K161" s="12"/>
      <c r="L161" s="12"/>
      <c r="M161" s="12"/>
      <c r="N161" s="12"/>
      <c r="O161" s="12"/>
      <c r="P161" s="12"/>
      <c r="Q161" s="12"/>
      <c r="R161" s="12"/>
      <c r="S161" s="12"/>
      <c r="T161" s="12"/>
      <c r="U161" s="12"/>
      <c r="V161" s="12"/>
      <c r="W161" s="12"/>
      <c r="X161" s="12"/>
      <c r="Y161" s="12"/>
      <c r="Z161" s="12"/>
    </row>
    <row r="162" spans="1:26" ht="13.5" customHeight="1" x14ac:dyDescent="0.25">
      <c r="A162" s="16" t="s">
        <v>354</v>
      </c>
      <c r="B162" s="11" t="s">
        <v>389</v>
      </c>
      <c r="C162" s="17">
        <v>80</v>
      </c>
      <c r="D162" s="17">
        <v>159</v>
      </c>
      <c r="E162" s="18" t="s">
        <v>390</v>
      </c>
      <c r="F162" s="12"/>
      <c r="G162" s="12"/>
      <c r="H162" s="12"/>
      <c r="I162" s="12"/>
      <c r="J162" s="12"/>
      <c r="K162" s="12"/>
      <c r="L162" s="12"/>
      <c r="M162" s="12"/>
      <c r="N162" s="12"/>
      <c r="O162" s="12"/>
      <c r="P162" s="12"/>
      <c r="Q162" s="12"/>
      <c r="R162" s="12"/>
      <c r="S162" s="12"/>
      <c r="T162" s="12"/>
      <c r="U162" s="12"/>
      <c r="V162" s="12"/>
      <c r="W162" s="12"/>
      <c r="X162" s="12"/>
      <c r="Y162" s="12"/>
      <c r="Z162" s="12"/>
    </row>
    <row r="163" spans="1:26" ht="13.5" customHeight="1" x14ac:dyDescent="0.25">
      <c r="A163" s="16" t="s">
        <v>354</v>
      </c>
      <c r="B163" s="11" t="s">
        <v>391</v>
      </c>
      <c r="C163" s="17">
        <v>77</v>
      </c>
      <c r="D163" s="17">
        <v>266</v>
      </c>
      <c r="E163" s="18" t="s">
        <v>392</v>
      </c>
      <c r="F163" s="12"/>
      <c r="G163" s="12"/>
      <c r="H163" s="12"/>
      <c r="I163" s="12"/>
      <c r="J163" s="12"/>
      <c r="K163" s="12"/>
      <c r="L163" s="12"/>
      <c r="M163" s="12"/>
      <c r="N163" s="12"/>
      <c r="O163" s="12"/>
      <c r="P163" s="12"/>
      <c r="Q163" s="12"/>
      <c r="R163" s="12"/>
      <c r="S163" s="12"/>
      <c r="T163" s="12"/>
      <c r="U163" s="12"/>
      <c r="V163" s="12"/>
      <c r="W163" s="12"/>
      <c r="X163" s="12"/>
      <c r="Y163" s="12"/>
      <c r="Z163" s="12"/>
    </row>
    <row r="164" spans="1:26" ht="13.5" customHeight="1" x14ac:dyDescent="0.25">
      <c r="A164" s="16" t="s">
        <v>354</v>
      </c>
      <c r="B164" s="11" t="s">
        <v>393</v>
      </c>
      <c r="C164" s="17">
        <v>72</v>
      </c>
      <c r="D164" s="17">
        <v>239</v>
      </c>
      <c r="E164" s="18" t="s">
        <v>394</v>
      </c>
      <c r="F164" s="12"/>
      <c r="G164" s="12"/>
      <c r="H164" s="12"/>
      <c r="I164" s="12"/>
      <c r="J164" s="12"/>
      <c r="K164" s="12"/>
      <c r="L164" s="12"/>
      <c r="M164" s="12"/>
      <c r="N164" s="12"/>
      <c r="O164" s="12"/>
      <c r="P164" s="12"/>
      <c r="Q164" s="12"/>
      <c r="R164" s="12"/>
      <c r="S164" s="12"/>
      <c r="T164" s="12"/>
      <c r="U164" s="12"/>
      <c r="V164" s="12"/>
      <c r="W164" s="12"/>
      <c r="X164" s="12"/>
      <c r="Y164" s="12"/>
      <c r="Z164" s="12"/>
    </row>
    <row r="165" spans="1:26" ht="13.5" customHeight="1" x14ac:dyDescent="0.25">
      <c r="A165" s="16" t="s">
        <v>354</v>
      </c>
      <c r="B165" s="11" t="s">
        <v>395</v>
      </c>
      <c r="C165" s="17">
        <v>70</v>
      </c>
      <c r="D165" s="17">
        <v>142</v>
      </c>
      <c r="E165" s="18" t="s">
        <v>396</v>
      </c>
      <c r="F165" s="12"/>
      <c r="G165" s="12"/>
      <c r="H165" s="12"/>
      <c r="I165" s="12"/>
      <c r="J165" s="12"/>
      <c r="K165" s="12"/>
      <c r="L165" s="12"/>
      <c r="M165" s="12"/>
      <c r="N165" s="12"/>
      <c r="O165" s="12"/>
      <c r="P165" s="12"/>
      <c r="Q165" s="12"/>
      <c r="R165" s="12"/>
      <c r="S165" s="12"/>
      <c r="T165" s="12"/>
      <c r="U165" s="12"/>
      <c r="V165" s="12"/>
      <c r="W165" s="12"/>
      <c r="X165" s="12"/>
      <c r="Y165" s="12"/>
      <c r="Z165" s="12"/>
    </row>
    <row r="166" spans="1:26" ht="13.5" customHeight="1" x14ac:dyDescent="0.25">
      <c r="A166" s="16" t="s">
        <v>354</v>
      </c>
      <c r="B166" s="11" t="s">
        <v>397</v>
      </c>
      <c r="C166" s="17">
        <v>70</v>
      </c>
      <c r="D166" s="17">
        <v>163</v>
      </c>
      <c r="E166" s="18" t="s">
        <v>398</v>
      </c>
      <c r="F166" s="12"/>
      <c r="G166" s="12"/>
      <c r="H166" s="12"/>
      <c r="I166" s="12"/>
      <c r="J166" s="12"/>
      <c r="K166" s="12"/>
      <c r="L166" s="12"/>
      <c r="M166" s="12"/>
      <c r="N166" s="12"/>
      <c r="O166" s="12"/>
      <c r="P166" s="12"/>
      <c r="Q166" s="12"/>
      <c r="R166" s="12"/>
      <c r="S166" s="12"/>
      <c r="T166" s="12"/>
      <c r="U166" s="12"/>
      <c r="V166" s="12"/>
      <c r="W166" s="12"/>
      <c r="X166" s="12"/>
      <c r="Y166" s="12"/>
      <c r="Z166" s="12"/>
    </row>
    <row r="167" spans="1:26" ht="13.5" customHeight="1" x14ac:dyDescent="0.25">
      <c r="A167" s="16" t="s">
        <v>354</v>
      </c>
      <c r="B167" s="11" t="s">
        <v>399</v>
      </c>
      <c r="C167" s="17">
        <v>69</v>
      </c>
      <c r="D167" s="17">
        <v>189</v>
      </c>
      <c r="E167" s="18" t="s">
        <v>400</v>
      </c>
      <c r="F167" s="12"/>
      <c r="G167" s="12"/>
      <c r="H167" s="12"/>
      <c r="I167" s="12"/>
      <c r="J167" s="12"/>
      <c r="K167" s="12"/>
      <c r="L167" s="12"/>
      <c r="M167" s="12"/>
      <c r="N167" s="12"/>
      <c r="O167" s="12"/>
      <c r="P167" s="12"/>
      <c r="Q167" s="12"/>
      <c r="R167" s="12"/>
      <c r="S167" s="12"/>
      <c r="T167" s="12"/>
      <c r="U167" s="12"/>
      <c r="V167" s="12"/>
      <c r="W167" s="12"/>
      <c r="X167" s="12"/>
      <c r="Y167" s="12"/>
      <c r="Z167" s="12"/>
    </row>
    <row r="168" spans="1:26" ht="13.5" customHeight="1" x14ac:dyDescent="0.25">
      <c r="A168" s="16" t="s">
        <v>354</v>
      </c>
      <c r="B168" s="11" t="s">
        <v>401</v>
      </c>
      <c r="C168" s="17">
        <v>66</v>
      </c>
      <c r="D168" s="17">
        <v>989</v>
      </c>
      <c r="E168" s="18" t="s">
        <v>402</v>
      </c>
      <c r="F168" s="12"/>
      <c r="G168" s="12"/>
      <c r="H168" s="12"/>
      <c r="I168" s="12"/>
      <c r="J168" s="12"/>
      <c r="K168" s="12"/>
      <c r="L168" s="12"/>
      <c r="M168" s="12"/>
      <c r="N168" s="12"/>
      <c r="O168" s="12"/>
      <c r="P168" s="12"/>
      <c r="Q168" s="12"/>
      <c r="R168" s="12"/>
      <c r="S168" s="12"/>
      <c r="T168" s="12"/>
      <c r="U168" s="12"/>
      <c r="V168" s="12"/>
      <c r="W168" s="12"/>
      <c r="X168" s="12"/>
      <c r="Y168" s="12"/>
      <c r="Z168" s="12"/>
    </row>
    <row r="169" spans="1:26" ht="13.5" customHeight="1" x14ac:dyDescent="0.25">
      <c r="A169" s="16" t="s">
        <v>354</v>
      </c>
      <c r="B169" s="11" t="s">
        <v>403</v>
      </c>
      <c r="C169" s="17">
        <v>63</v>
      </c>
      <c r="D169" s="17">
        <v>454</v>
      </c>
      <c r="E169" s="18" t="s">
        <v>404</v>
      </c>
      <c r="F169" s="12"/>
      <c r="G169" s="12"/>
      <c r="H169" s="12"/>
      <c r="I169" s="12"/>
      <c r="J169" s="12"/>
      <c r="K169" s="12"/>
      <c r="L169" s="12"/>
      <c r="M169" s="12"/>
      <c r="N169" s="12"/>
      <c r="O169" s="12"/>
      <c r="P169" s="12"/>
      <c r="Q169" s="12"/>
      <c r="R169" s="12"/>
      <c r="S169" s="12"/>
      <c r="T169" s="12"/>
      <c r="U169" s="12"/>
      <c r="V169" s="12"/>
      <c r="W169" s="12"/>
      <c r="X169" s="12"/>
      <c r="Y169" s="12"/>
      <c r="Z169" s="12"/>
    </row>
    <row r="170" spans="1:26" ht="13.5" customHeight="1" x14ac:dyDescent="0.25">
      <c r="A170" s="16" t="s">
        <v>354</v>
      </c>
      <c r="B170" s="11" t="s">
        <v>405</v>
      </c>
      <c r="C170" s="17">
        <v>53</v>
      </c>
      <c r="D170" s="17">
        <v>174</v>
      </c>
      <c r="E170" s="18" t="s">
        <v>406</v>
      </c>
      <c r="F170" s="12"/>
      <c r="G170" s="12"/>
      <c r="H170" s="12"/>
      <c r="I170" s="12"/>
      <c r="J170" s="12"/>
      <c r="K170" s="12"/>
      <c r="L170" s="12"/>
      <c r="M170" s="12"/>
      <c r="N170" s="12"/>
      <c r="O170" s="12"/>
      <c r="P170" s="12"/>
      <c r="Q170" s="12"/>
      <c r="R170" s="12"/>
      <c r="S170" s="12"/>
      <c r="T170" s="12"/>
      <c r="U170" s="12"/>
      <c r="V170" s="12"/>
      <c r="W170" s="12"/>
      <c r="X170" s="12"/>
      <c r="Y170" s="12"/>
      <c r="Z170" s="12"/>
    </row>
    <row r="171" spans="1:26" ht="13.5" customHeight="1" x14ac:dyDescent="0.25">
      <c r="A171" s="16" t="s">
        <v>354</v>
      </c>
      <c r="B171" s="11" t="s">
        <v>407</v>
      </c>
      <c r="C171" s="17">
        <v>52</v>
      </c>
      <c r="D171" s="17">
        <v>132</v>
      </c>
      <c r="E171" s="18" t="s">
        <v>408</v>
      </c>
      <c r="F171" s="12"/>
      <c r="G171" s="12"/>
      <c r="H171" s="12"/>
      <c r="I171" s="12"/>
      <c r="J171" s="12"/>
      <c r="K171" s="12"/>
      <c r="L171" s="12"/>
      <c r="M171" s="12"/>
      <c r="N171" s="12"/>
      <c r="O171" s="12"/>
      <c r="P171" s="12"/>
      <c r="Q171" s="12"/>
      <c r="R171" s="12"/>
      <c r="S171" s="12"/>
      <c r="T171" s="12"/>
      <c r="U171" s="12"/>
      <c r="V171" s="12"/>
      <c r="W171" s="12"/>
      <c r="X171" s="12"/>
      <c r="Y171" s="12"/>
      <c r="Z171" s="12"/>
    </row>
    <row r="172" spans="1:26" ht="13.5" customHeight="1" x14ac:dyDescent="0.25">
      <c r="A172" s="16" t="s">
        <v>354</v>
      </c>
      <c r="B172" s="11" t="s">
        <v>409</v>
      </c>
      <c r="C172" s="17">
        <v>43</v>
      </c>
      <c r="D172" s="17">
        <v>81</v>
      </c>
      <c r="E172" s="18" t="s">
        <v>410</v>
      </c>
      <c r="F172" s="12"/>
      <c r="G172" s="12"/>
      <c r="H172" s="12"/>
      <c r="I172" s="12"/>
      <c r="J172" s="12"/>
      <c r="K172" s="12"/>
      <c r="L172" s="12"/>
      <c r="M172" s="12"/>
      <c r="N172" s="12"/>
      <c r="O172" s="12"/>
      <c r="P172" s="12"/>
      <c r="Q172" s="12"/>
      <c r="R172" s="12"/>
      <c r="S172" s="12"/>
      <c r="T172" s="12"/>
      <c r="U172" s="12"/>
      <c r="V172" s="12"/>
      <c r="W172" s="12"/>
      <c r="X172" s="12"/>
      <c r="Y172" s="12"/>
      <c r="Z172" s="12"/>
    </row>
    <row r="173" spans="1:26" ht="13.5" customHeight="1" x14ac:dyDescent="0.25">
      <c r="A173" s="16" t="s">
        <v>354</v>
      </c>
      <c r="B173" s="11" t="s">
        <v>411</v>
      </c>
      <c r="C173" s="17">
        <v>40</v>
      </c>
      <c r="D173" s="17">
        <v>66</v>
      </c>
      <c r="E173" s="18" t="s">
        <v>412</v>
      </c>
      <c r="F173" s="12"/>
      <c r="G173" s="12"/>
      <c r="H173" s="12"/>
      <c r="I173" s="12"/>
      <c r="J173" s="12"/>
      <c r="K173" s="12"/>
      <c r="L173" s="12"/>
      <c r="M173" s="12"/>
      <c r="N173" s="12"/>
      <c r="O173" s="12"/>
      <c r="P173" s="12"/>
      <c r="Q173" s="12"/>
      <c r="R173" s="12"/>
      <c r="S173" s="12"/>
      <c r="T173" s="12"/>
      <c r="U173" s="12"/>
      <c r="V173" s="12"/>
      <c r="W173" s="12"/>
      <c r="X173" s="12"/>
      <c r="Y173" s="12"/>
      <c r="Z173" s="12"/>
    </row>
    <row r="174" spans="1:26" ht="13.5" customHeight="1" x14ac:dyDescent="0.25">
      <c r="A174" s="16" t="s">
        <v>354</v>
      </c>
      <c r="B174" s="11" t="s">
        <v>413</v>
      </c>
      <c r="C174" s="17">
        <v>40</v>
      </c>
      <c r="D174" s="17">
        <v>97</v>
      </c>
      <c r="E174" s="18" t="s">
        <v>414</v>
      </c>
      <c r="F174" s="12"/>
      <c r="G174" s="12"/>
      <c r="H174" s="12"/>
      <c r="I174" s="12"/>
      <c r="J174" s="12"/>
      <c r="K174" s="12"/>
      <c r="L174" s="12"/>
      <c r="M174" s="12"/>
      <c r="N174" s="12"/>
      <c r="O174" s="12"/>
      <c r="P174" s="12"/>
      <c r="Q174" s="12"/>
      <c r="R174" s="12"/>
      <c r="S174" s="12"/>
      <c r="T174" s="12"/>
      <c r="U174" s="12"/>
      <c r="V174" s="12"/>
      <c r="W174" s="12"/>
      <c r="X174" s="12"/>
      <c r="Y174" s="12"/>
      <c r="Z174" s="12"/>
    </row>
    <row r="175" spans="1:26" ht="13.5" customHeight="1" x14ac:dyDescent="0.25">
      <c r="A175" s="16" t="s">
        <v>354</v>
      </c>
      <c r="B175" s="11" t="s">
        <v>415</v>
      </c>
      <c r="C175" s="17">
        <v>39</v>
      </c>
      <c r="D175" s="17">
        <v>84</v>
      </c>
      <c r="E175" s="18" t="s">
        <v>416</v>
      </c>
      <c r="F175" s="12"/>
      <c r="G175" s="12"/>
      <c r="H175" s="12"/>
      <c r="I175" s="12"/>
      <c r="J175" s="12"/>
      <c r="K175" s="12"/>
      <c r="L175" s="12"/>
      <c r="M175" s="12"/>
      <c r="N175" s="12"/>
      <c r="O175" s="12"/>
      <c r="P175" s="12"/>
      <c r="Q175" s="12"/>
      <c r="R175" s="12"/>
      <c r="S175" s="12"/>
      <c r="T175" s="12"/>
      <c r="U175" s="12"/>
      <c r="V175" s="12"/>
      <c r="W175" s="12"/>
      <c r="X175" s="12"/>
      <c r="Y175" s="12"/>
      <c r="Z175" s="12"/>
    </row>
    <row r="176" spans="1:26" ht="13.5" customHeight="1" x14ac:dyDescent="0.25">
      <c r="A176" s="16" t="s">
        <v>354</v>
      </c>
      <c r="B176" s="11" t="s">
        <v>417</v>
      </c>
      <c r="C176" s="17">
        <v>37</v>
      </c>
      <c r="D176" s="17">
        <v>101</v>
      </c>
      <c r="E176" s="18" t="s">
        <v>418</v>
      </c>
      <c r="F176" s="12"/>
      <c r="G176" s="12"/>
      <c r="H176" s="12"/>
      <c r="I176" s="12"/>
      <c r="J176" s="12"/>
      <c r="K176" s="12"/>
      <c r="L176" s="12"/>
      <c r="M176" s="12"/>
      <c r="N176" s="12"/>
      <c r="O176" s="12"/>
      <c r="P176" s="12"/>
      <c r="Q176" s="12"/>
      <c r="R176" s="12"/>
      <c r="S176" s="12"/>
      <c r="T176" s="12"/>
      <c r="U176" s="12"/>
      <c r="V176" s="12"/>
      <c r="W176" s="12"/>
      <c r="X176" s="12"/>
      <c r="Y176" s="12"/>
      <c r="Z176" s="12"/>
    </row>
    <row r="177" spans="1:26" ht="13.5" customHeight="1" x14ac:dyDescent="0.25">
      <c r="A177" s="16" t="s">
        <v>354</v>
      </c>
      <c r="B177" s="11" t="s">
        <v>419</v>
      </c>
      <c r="C177" s="17">
        <v>37</v>
      </c>
      <c r="D177" s="17">
        <v>108</v>
      </c>
      <c r="E177" s="18" t="s">
        <v>420</v>
      </c>
      <c r="F177" s="12"/>
      <c r="G177" s="12"/>
      <c r="H177" s="12"/>
      <c r="I177" s="12"/>
      <c r="J177" s="12"/>
      <c r="K177" s="12"/>
      <c r="L177" s="12"/>
      <c r="M177" s="12"/>
      <c r="N177" s="12"/>
      <c r="O177" s="12"/>
      <c r="P177" s="12"/>
      <c r="Q177" s="12"/>
      <c r="R177" s="12"/>
      <c r="S177" s="12"/>
      <c r="T177" s="12"/>
      <c r="U177" s="12"/>
      <c r="V177" s="12"/>
      <c r="W177" s="12"/>
      <c r="X177" s="12"/>
      <c r="Y177" s="12"/>
      <c r="Z177" s="12"/>
    </row>
    <row r="178" spans="1:26" ht="13.5" customHeight="1" x14ac:dyDescent="0.25">
      <c r="A178" s="16" t="s">
        <v>354</v>
      </c>
      <c r="B178" s="11" t="s">
        <v>421</v>
      </c>
      <c r="C178" s="17">
        <v>35</v>
      </c>
      <c r="D178" s="17">
        <v>66</v>
      </c>
      <c r="E178" s="18" t="s">
        <v>422</v>
      </c>
      <c r="F178" s="12"/>
      <c r="G178" s="12"/>
      <c r="H178" s="12"/>
      <c r="I178" s="12"/>
      <c r="J178" s="12"/>
      <c r="K178" s="12"/>
      <c r="L178" s="12"/>
      <c r="M178" s="12"/>
      <c r="N178" s="12"/>
      <c r="O178" s="12"/>
      <c r="P178" s="12"/>
      <c r="Q178" s="12"/>
      <c r="R178" s="12"/>
      <c r="S178" s="12"/>
      <c r="T178" s="12"/>
      <c r="U178" s="12"/>
      <c r="V178" s="12"/>
      <c r="W178" s="12"/>
      <c r="X178" s="12"/>
      <c r="Y178" s="12"/>
      <c r="Z178" s="12"/>
    </row>
    <row r="179" spans="1:26" ht="13.5" customHeight="1" x14ac:dyDescent="0.25">
      <c r="A179" s="16" t="s">
        <v>354</v>
      </c>
      <c r="B179" s="11" t="s">
        <v>423</v>
      </c>
      <c r="C179" s="17">
        <v>32</v>
      </c>
      <c r="D179" s="17">
        <v>67</v>
      </c>
      <c r="E179" s="18" t="s">
        <v>424</v>
      </c>
      <c r="F179" s="12"/>
      <c r="G179" s="12"/>
      <c r="H179" s="12"/>
      <c r="I179" s="12"/>
      <c r="J179" s="12"/>
      <c r="K179" s="12"/>
      <c r="L179" s="12"/>
      <c r="M179" s="12"/>
      <c r="N179" s="12"/>
      <c r="O179" s="12"/>
      <c r="P179" s="12"/>
      <c r="Q179" s="12"/>
      <c r="R179" s="12"/>
      <c r="S179" s="12"/>
      <c r="T179" s="12"/>
      <c r="U179" s="12"/>
      <c r="V179" s="12"/>
      <c r="W179" s="12"/>
      <c r="X179" s="12"/>
      <c r="Y179" s="12"/>
      <c r="Z179" s="12"/>
    </row>
    <row r="180" spans="1:26" ht="13.5" customHeight="1" x14ac:dyDescent="0.25">
      <c r="A180" s="16" t="s">
        <v>354</v>
      </c>
      <c r="B180" s="11" t="s">
        <v>425</v>
      </c>
      <c r="C180" s="17">
        <v>30</v>
      </c>
      <c r="D180" s="17">
        <v>61</v>
      </c>
      <c r="E180" s="18" t="s">
        <v>426</v>
      </c>
      <c r="F180" s="12"/>
      <c r="G180" s="12"/>
      <c r="H180" s="12"/>
      <c r="I180" s="12"/>
      <c r="J180" s="12"/>
      <c r="K180" s="12"/>
      <c r="L180" s="12"/>
      <c r="M180" s="12"/>
      <c r="N180" s="12"/>
      <c r="O180" s="12"/>
      <c r="P180" s="12"/>
      <c r="Q180" s="12"/>
      <c r="R180" s="12"/>
      <c r="S180" s="12"/>
      <c r="T180" s="12"/>
      <c r="U180" s="12"/>
      <c r="V180" s="12"/>
      <c r="W180" s="12"/>
      <c r="X180" s="12"/>
      <c r="Y180" s="12"/>
      <c r="Z180" s="12"/>
    </row>
    <row r="181" spans="1:26" ht="13.5" customHeight="1" x14ac:dyDescent="0.25">
      <c r="A181" s="16" t="s">
        <v>354</v>
      </c>
      <c r="B181" s="11" t="s">
        <v>427</v>
      </c>
      <c r="C181" s="17">
        <v>28</v>
      </c>
      <c r="D181" s="17">
        <v>67</v>
      </c>
      <c r="E181" s="18" t="s">
        <v>428</v>
      </c>
      <c r="F181" s="12"/>
      <c r="G181" s="12"/>
      <c r="H181" s="12"/>
      <c r="I181" s="12"/>
      <c r="J181" s="12"/>
      <c r="K181" s="12"/>
      <c r="L181" s="12"/>
      <c r="M181" s="12"/>
      <c r="N181" s="12"/>
      <c r="O181" s="12"/>
      <c r="P181" s="12"/>
      <c r="Q181" s="12"/>
      <c r="R181" s="12"/>
      <c r="S181" s="12"/>
      <c r="T181" s="12"/>
      <c r="U181" s="12"/>
      <c r="V181" s="12"/>
      <c r="W181" s="12"/>
      <c r="X181" s="12"/>
      <c r="Y181" s="12"/>
      <c r="Z181" s="12"/>
    </row>
    <row r="182" spans="1:26" ht="13.5" customHeight="1" x14ac:dyDescent="0.25">
      <c r="A182" s="16" t="s">
        <v>354</v>
      </c>
      <c r="B182" s="11" t="s">
        <v>429</v>
      </c>
      <c r="C182" s="17">
        <v>27</v>
      </c>
      <c r="D182" s="17">
        <v>128</v>
      </c>
      <c r="E182" s="18" t="s">
        <v>430</v>
      </c>
      <c r="F182" s="12"/>
      <c r="G182" s="12"/>
      <c r="H182" s="12"/>
      <c r="I182" s="12"/>
      <c r="J182" s="12"/>
      <c r="K182" s="12"/>
      <c r="L182" s="12"/>
      <c r="M182" s="12"/>
      <c r="N182" s="12"/>
      <c r="O182" s="12"/>
      <c r="P182" s="12"/>
      <c r="Q182" s="12"/>
      <c r="R182" s="12"/>
      <c r="S182" s="12"/>
      <c r="T182" s="12"/>
      <c r="U182" s="12"/>
      <c r="V182" s="12"/>
      <c r="W182" s="12"/>
      <c r="X182" s="12"/>
      <c r="Y182" s="12"/>
      <c r="Z182" s="12"/>
    </row>
    <row r="183" spans="1:26" ht="13.5" customHeight="1" x14ac:dyDescent="0.25">
      <c r="A183" s="16" t="s">
        <v>354</v>
      </c>
      <c r="B183" s="11" t="s">
        <v>431</v>
      </c>
      <c r="C183" s="17">
        <v>26</v>
      </c>
      <c r="D183" s="17">
        <v>63</v>
      </c>
      <c r="E183" s="18" t="s">
        <v>432</v>
      </c>
      <c r="F183" s="12"/>
      <c r="G183" s="12"/>
      <c r="H183" s="12"/>
      <c r="I183" s="12"/>
      <c r="J183" s="12"/>
      <c r="K183" s="12"/>
      <c r="L183" s="12"/>
      <c r="M183" s="12"/>
      <c r="N183" s="12"/>
      <c r="O183" s="12"/>
      <c r="P183" s="12"/>
      <c r="Q183" s="12"/>
      <c r="R183" s="12"/>
      <c r="S183" s="12"/>
      <c r="T183" s="12"/>
      <c r="U183" s="12"/>
      <c r="V183" s="12"/>
      <c r="W183" s="12"/>
      <c r="X183" s="12"/>
      <c r="Y183" s="12"/>
      <c r="Z183" s="12"/>
    </row>
    <row r="184" spans="1:26" ht="13.5" customHeight="1" x14ac:dyDescent="0.25">
      <c r="A184" s="16" t="s">
        <v>354</v>
      </c>
      <c r="B184" s="11" t="s">
        <v>433</v>
      </c>
      <c r="C184" s="17">
        <v>22</v>
      </c>
      <c r="D184" s="17">
        <v>53</v>
      </c>
      <c r="E184" s="18" t="s">
        <v>434</v>
      </c>
      <c r="F184" s="12"/>
      <c r="G184" s="12"/>
      <c r="H184" s="12"/>
      <c r="I184" s="12"/>
      <c r="J184" s="12"/>
      <c r="K184" s="12"/>
      <c r="L184" s="12"/>
      <c r="M184" s="12"/>
      <c r="N184" s="12"/>
      <c r="O184" s="12"/>
      <c r="P184" s="12"/>
      <c r="Q184" s="12"/>
      <c r="R184" s="12"/>
      <c r="S184" s="12"/>
      <c r="T184" s="12"/>
      <c r="U184" s="12"/>
      <c r="V184" s="12"/>
      <c r="W184" s="12"/>
      <c r="X184" s="12"/>
      <c r="Y184" s="12"/>
      <c r="Z184" s="12"/>
    </row>
    <row r="185" spans="1:26" ht="13.5" customHeight="1" x14ac:dyDescent="0.25">
      <c r="A185" s="16" t="s">
        <v>354</v>
      </c>
      <c r="B185" s="11" t="s">
        <v>435</v>
      </c>
      <c r="C185" s="17">
        <v>21</v>
      </c>
      <c r="D185" s="17">
        <v>49</v>
      </c>
      <c r="E185" s="18" t="s">
        <v>436</v>
      </c>
      <c r="F185" s="12"/>
      <c r="G185" s="12"/>
      <c r="H185" s="12"/>
      <c r="I185" s="12"/>
      <c r="J185" s="12"/>
      <c r="K185" s="12"/>
      <c r="L185" s="12"/>
      <c r="M185" s="12"/>
      <c r="N185" s="12"/>
      <c r="O185" s="12"/>
      <c r="P185" s="12"/>
      <c r="Q185" s="12"/>
      <c r="R185" s="12"/>
      <c r="S185" s="12"/>
      <c r="T185" s="12"/>
      <c r="U185" s="12"/>
      <c r="V185" s="12"/>
      <c r="W185" s="12"/>
      <c r="X185" s="12"/>
      <c r="Y185" s="12"/>
      <c r="Z185" s="12"/>
    </row>
    <row r="186" spans="1:26" ht="13.5" customHeight="1" x14ac:dyDescent="0.25">
      <c r="A186" s="16" t="s">
        <v>354</v>
      </c>
      <c r="B186" s="11" t="s">
        <v>437</v>
      </c>
      <c r="C186" s="17">
        <v>21</v>
      </c>
      <c r="D186" s="17">
        <v>37</v>
      </c>
      <c r="E186" s="18" t="s">
        <v>438</v>
      </c>
      <c r="F186" s="12"/>
      <c r="G186" s="12"/>
      <c r="H186" s="12"/>
      <c r="I186" s="12"/>
      <c r="J186" s="12"/>
      <c r="K186" s="12"/>
      <c r="L186" s="12"/>
      <c r="M186" s="12"/>
      <c r="N186" s="12"/>
      <c r="O186" s="12"/>
      <c r="P186" s="12"/>
      <c r="Q186" s="12"/>
      <c r="R186" s="12"/>
      <c r="S186" s="12"/>
      <c r="T186" s="12"/>
      <c r="U186" s="12"/>
      <c r="V186" s="12"/>
      <c r="W186" s="12"/>
      <c r="X186" s="12"/>
      <c r="Y186" s="12"/>
      <c r="Z186" s="12"/>
    </row>
    <row r="187" spans="1:26" ht="13.5" customHeight="1" x14ac:dyDescent="0.25">
      <c r="A187" s="16" t="s">
        <v>354</v>
      </c>
      <c r="B187" s="11" t="s">
        <v>439</v>
      </c>
      <c r="C187" s="17">
        <v>21</v>
      </c>
      <c r="D187" s="17">
        <v>37</v>
      </c>
      <c r="E187" s="18" t="s">
        <v>440</v>
      </c>
      <c r="F187" s="12"/>
      <c r="G187" s="12"/>
      <c r="H187" s="12"/>
      <c r="I187" s="12"/>
      <c r="J187" s="12"/>
      <c r="K187" s="12"/>
      <c r="L187" s="12"/>
      <c r="M187" s="12"/>
      <c r="N187" s="12"/>
      <c r="O187" s="12"/>
      <c r="P187" s="12"/>
      <c r="Q187" s="12"/>
      <c r="R187" s="12"/>
      <c r="S187" s="12"/>
      <c r="T187" s="12"/>
      <c r="U187" s="12"/>
      <c r="V187" s="12"/>
      <c r="W187" s="12"/>
      <c r="X187" s="12"/>
      <c r="Y187" s="12"/>
      <c r="Z187" s="12"/>
    </row>
    <row r="188" spans="1:26" ht="13.5" customHeight="1" x14ac:dyDescent="0.25">
      <c r="A188" s="16" t="s">
        <v>354</v>
      </c>
      <c r="B188" s="11" t="s">
        <v>441</v>
      </c>
      <c r="C188" s="17">
        <v>19</v>
      </c>
      <c r="D188" s="17">
        <v>45</v>
      </c>
      <c r="E188" s="18" t="s">
        <v>442</v>
      </c>
      <c r="F188" s="12"/>
      <c r="G188" s="12"/>
      <c r="H188" s="12"/>
      <c r="I188" s="12"/>
      <c r="J188" s="12"/>
      <c r="K188" s="12"/>
      <c r="L188" s="12"/>
      <c r="M188" s="12"/>
      <c r="N188" s="12"/>
      <c r="O188" s="12"/>
      <c r="P188" s="12"/>
      <c r="Q188" s="12"/>
      <c r="R188" s="12"/>
      <c r="S188" s="12"/>
      <c r="T188" s="12"/>
      <c r="U188" s="12"/>
      <c r="V188" s="12"/>
      <c r="W188" s="12"/>
      <c r="X188" s="12"/>
      <c r="Y188" s="12"/>
      <c r="Z188" s="12"/>
    </row>
    <row r="189" spans="1:26" ht="13.5" customHeight="1" x14ac:dyDescent="0.25">
      <c r="A189" s="16" t="s">
        <v>354</v>
      </c>
      <c r="B189" s="11" t="s">
        <v>443</v>
      </c>
      <c r="C189" s="17">
        <v>19</v>
      </c>
      <c r="D189" s="17">
        <v>56</v>
      </c>
      <c r="E189" s="18" t="s">
        <v>444</v>
      </c>
      <c r="F189" s="12"/>
      <c r="G189" s="12"/>
      <c r="H189" s="12"/>
      <c r="I189" s="12"/>
      <c r="J189" s="12"/>
      <c r="K189" s="12"/>
      <c r="L189" s="12"/>
      <c r="M189" s="12"/>
      <c r="N189" s="12"/>
      <c r="O189" s="12"/>
      <c r="P189" s="12"/>
      <c r="Q189" s="12"/>
      <c r="R189" s="12"/>
      <c r="S189" s="12"/>
      <c r="T189" s="12"/>
      <c r="U189" s="12"/>
      <c r="V189" s="12"/>
      <c r="W189" s="12"/>
      <c r="X189" s="12"/>
      <c r="Y189" s="12"/>
      <c r="Z189" s="12"/>
    </row>
    <row r="190" spans="1:26" ht="13.5" customHeight="1" x14ac:dyDescent="0.25">
      <c r="A190" s="16" t="s">
        <v>354</v>
      </c>
      <c r="B190" s="11" t="s">
        <v>445</v>
      </c>
      <c r="C190" s="17">
        <v>18</v>
      </c>
      <c r="D190" s="17">
        <v>34</v>
      </c>
      <c r="E190" s="18" t="s">
        <v>446</v>
      </c>
      <c r="F190" s="12"/>
      <c r="G190" s="12"/>
      <c r="H190" s="12"/>
      <c r="I190" s="12"/>
      <c r="J190" s="12"/>
      <c r="K190" s="12"/>
      <c r="L190" s="12"/>
      <c r="M190" s="12"/>
      <c r="N190" s="12"/>
      <c r="O190" s="12"/>
      <c r="P190" s="12"/>
      <c r="Q190" s="12"/>
      <c r="R190" s="12"/>
      <c r="S190" s="12"/>
      <c r="T190" s="12"/>
      <c r="U190" s="12"/>
      <c r="V190" s="12"/>
      <c r="W190" s="12"/>
      <c r="X190" s="12"/>
      <c r="Y190" s="12"/>
      <c r="Z190" s="12"/>
    </row>
    <row r="191" spans="1:26" ht="13.5" customHeight="1" x14ac:dyDescent="0.25">
      <c r="A191" s="16" t="s">
        <v>354</v>
      </c>
      <c r="B191" s="11" t="s">
        <v>447</v>
      </c>
      <c r="C191" s="17">
        <v>18</v>
      </c>
      <c r="D191" s="17">
        <v>40</v>
      </c>
      <c r="E191" s="18" t="s">
        <v>448</v>
      </c>
      <c r="F191" s="12"/>
      <c r="G191" s="12"/>
      <c r="H191" s="12"/>
      <c r="I191" s="12"/>
      <c r="J191" s="12"/>
      <c r="K191" s="12"/>
      <c r="L191" s="12"/>
      <c r="M191" s="12"/>
      <c r="N191" s="12"/>
      <c r="O191" s="12"/>
      <c r="P191" s="12"/>
      <c r="Q191" s="12"/>
      <c r="R191" s="12"/>
      <c r="S191" s="12"/>
      <c r="T191" s="12"/>
      <c r="U191" s="12"/>
      <c r="V191" s="12"/>
      <c r="W191" s="12"/>
      <c r="X191" s="12"/>
      <c r="Y191" s="12"/>
      <c r="Z191" s="12"/>
    </row>
    <row r="192" spans="1:26" ht="13.5" customHeight="1" x14ac:dyDescent="0.25">
      <c r="A192" s="16" t="s">
        <v>354</v>
      </c>
      <c r="B192" s="11" t="s">
        <v>449</v>
      </c>
      <c r="C192" s="17">
        <v>17</v>
      </c>
      <c r="D192" s="17">
        <v>42</v>
      </c>
      <c r="E192" s="18" t="s">
        <v>450</v>
      </c>
      <c r="F192" s="12"/>
      <c r="G192" s="12"/>
      <c r="H192" s="12"/>
      <c r="I192" s="12"/>
      <c r="J192" s="12"/>
      <c r="K192" s="12"/>
      <c r="L192" s="12"/>
      <c r="M192" s="12"/>
      <c r="N192" s="12"/>
      <c r="O192" s="12"/>
      <c r="P192" s="12"/>
      <c r="Q192" s="12"/>
      <c r="R192" s="12"/>
      <c r="S192" s="12"/>
      <c r="T192" s="12"/>
      <c r="U192" s="12"/>
      <c r="V192" s="12"/>
      <c r="W192" s="12"/>
      <c r="X192" s="12"/>
      <c r="Y192" s="12"/>
      <c r="Z192" s="12"/>
    </row>
    <row r="193" spans="1:26" ht="13.5" customHeight="1" x14ac:dyDescent="0.25">
      <c r="A193" s="16" t="s">
        <v>354</v>
      </c>
      <c r="B193" s="11" t="s">
        <v>451</v>
      </c>
      <c r="C193" s="17">
        <v>17</v>
      </c>
      <c r="D193" s="17">
        <v>36</v>
      </c>
      <c r="E193" s="18" t="s">
        <v>452</v>
      </c>
      <c r="F193" s="12"/>
      <c r="G193" s="12"/>
      <c r="H193" s="12"/>
      <c r="I193" s="12"/>
      <c r="J193" s="12"/>
      <c r="K193" s="12"/>
      <c r="L193" s="12"/>
      <c r="M193" s="12"/>
      <c r="N193" s="12"/>
      <c r="O193" s="12"/>
      <c r="P193" s="12"/>
      <c r="Q193" s="12"/>
      <c r="R193" s="12"/>
      <c r="S193" s="12"/>
      <c r="T193" s="12"/>
      <c r="U193" s="12"/>
      <c r="V193" s="12"/>
      <c r="W193" s="12"/>
      <c r="X193" s="12"/>
      <c r="Y193" s="12"/>
      <c r="Z193" s="12"/>
    </row>
    <row r="194" spans="1:26" ht="13.5" customHeight="1" x14ac:dyDescent="0.25">
      <c r="A194" s="16" t="s">
        <v>354</v>
      </c>
      <c r="B194" s="11" t="s">
        <v>453</v>
      </c>
      <c r="C194" s="17">
        <v>16</v>
      </c>
      <c r="D194" s="17">
        <v>46</v>
      </c>
      <c r="E194" s="18" t="s">
        <v>454</v>
      </c>
      <c r="F194" s="12"/>
      <c r="G194" s="12"/>
      <c r="H194" s="12"/>
      <c r="I194" s="12"/>
      <c r="J194" s="12"/>
      <c r="K194" s="12"/>
      <c r="L194" s="12"/>
      <c r="M194" s="12"/>
      <c r="N194" s="12"/>
      <c r="O194" s="12"/>
      <c r="P194" s="12"/>
      <c r="Q194" s="12"/>
      <c r="R194" s="12"/>
      <c r="S194" s="12"/>
      <c r="T194" s="12"/>
      <c r="U194" s="12"/>
      <c r="V194" s="12"/>
      <c r="W194" s="12"/>
      <c r="X194" s="12"/>
      <c r="Y194" s="12"/>
      <c r="Z194" s="12"/>
    </row>
    <row r="195" spans="1:26" ht="13.5" customHeight="1" x14ac:dyDescent="0.25">
      <c r="A195" s="16" t="s">
        <v>354</v>
      </c>
      <c r="B195" s="11" t="s">
        <v>455</v>
      </c>
      <c r="C195" s="17">
        <v>14</v>
      </c>
      <c r="D195" s="17">
        <v>31</v>
      </c>
      <c r="E195" s="18" t="s">
        <v>456</v>
      </c>
      <c r="F195" s="12"/>
      <c r="G195" s="12"/>
      <c r="H195" s="12"/>
      <c r="I195" s="12"/>
      <c r="J195" s="12"/>
      <c r="K195" s="12"/>
      <c r="L195" s="12"/>
      <c r="M195" s="12"/>
      <c r="N195" s="12"/>
      <c r="O195" s="12"/>
      <c r="P195" s="12"/>
      <c r="Q195" s="12"/>
      <c r="R195" s="12"/>
      <c r="S195" s="12"/>
      <c r="T195" s="12"/>
      <c r="U195" s="12"/>
      <c r="V195" s="12"/>
      <c r="W195" s="12"/>
      <c r="X195" s="12"/>
      <c r="Y195" s="12"/>
      <c r="Z195" s="12"/>
    </row>
    <row r="196" spans="1:26" ht="13.5" customHeight="1" x14ac:dyDescent="0.25">
      <c r="A196" s="16" t="s">
        <v>354</v>
      </c>
      <c r="B196" s="11" t="s">
        <v>457</v>
      </c>
      <c r="C196" s="17">
        <v>14</v>
      </c>
      <c r="D196" s="17">
        <v>30</v>
      </c>
      <c r="E196" s="18" t="s">
        <v>458</v>
      </c>
      <c r="F196" s="12"/>
      <c r="G196" s="12"/>
      <c r="H196" s="12"/>
      <c r="I196" s="12"/>
      <c r="J196" s="12"/>
      <c r="K196" s="12"/>
      <c r="L196" s="12"/>
      <c r="M196" s="12"/>
      <c r="N196" s="12"/>
      <c r="O196" s="12"/>
      <c r="P196" s="12"/>
      <c r="Q196" s="12"/>
      <c r="R196" s="12"/>
      <c r="S196" s="12"/>
      <c r="T196" s="12"/>
      <c r="U196" s="12"/>
      <c r="V196" s="12"/>
      <c r="W196" s="12"/>
      <c r="X196" s="12"/>
      <c r="Y196" s="12"/>
      <c r="Z196" s="12"/>
    </row>
    <row r="197" spans="1:26" ht="13.5" customHeight="1" x14ac:dyDescent="0.25">
      <c r="A197" s="16" t="s">
        <v>354</v>
      </c>
      <c r="B197" s="11" t="s">
        <v>459</v>
      </c>
      <c r="C197" s="17">
        <v>14</v>
      </c>
      <c r="D197" s="17">
        <v>24</v>
      </c>
      <c r="E197" s="18" t="s">
        <v>460</v>
      </c>
      <c r="F197" s="12"/>
      <c r="G197" s="12"/>
      <c r="H197" s="12"/>
      <c r="I197" s="12"/>
      <c r="J197" s="12"/>
      <c r="K197" s="12"/>
      <c r="L197" s="12"/>
      <c r="M197" s="12"/>
      <c r="N197" s="12"/>
      <c r="O197" s="12"/>
      <c r="P197" s="12"/>
      <c r="Q197" s="12"/>
      <c r="R197" s="12"/>
      <c r="S197" s="12"/>
      <c r="T197" s="12"/>
      <c r="U197" s="12"/>
      <c r="V197" s="12"/>
      <c r="W197" s="12"/>
      <c r="X197" s="12"/>
      <c r="Y197" s="12"/>
      <c r="Z197" s="12"/>
    </row>
    <row r="198" spans="1:26" ht="13.5" customHeight="1" x14ac:dyDescent="0.25">
      <c r="A198" s="16" t="s">
        <v>354</v>
      </c>
      <c r="B198" s="11" t="s">
        <v>461</v>
      </c>
      <c r="C198" s="17">
        <v>13</v>
      </c>
      <c r="D198" s="17">
        <v>43</v>
      </c>
      <c r="E198" s="18" t="s">
        <v>462</v>
      </c>
      <c r="F198" s="12"/>
      <c r="G198" s="12"/>
      <c r="H198" s="12"/>
      <c r="I198" s="12"/>
      <c r="J198" s="12"/>
      <c r="K198" s="12"/>
      <c r="L198" s="12"/>
      <c r="M198" s="12"/>
      <c r="N198" s="12"/>
      <c r="O198" s="12"/>
      <c r="P198" s="12"/>
      <c r="Q198" s="12"/>
      <c r="R198" s="12"/>
      <c r="S198" s="12"/>
      <c r="T198" s="12"/>
      <c r="U198" s="12"/>
      <c r="V198" s="12"/>
      <c r="W198" s="12"/>
      <c r="X198" s="12"/>
      <c r="Y198" s="12"/>
      <c r="Z198" s="12"/>
    </row>
    <row r="199" spans="1:26" ht="13.5" customHeight="1" x14ac:dyDescent="0.25">
      <c r="A199" s="16" t="s">
        <v>354</v>
      </c>
      <c r="B199" s="11" t="s">
        <v>463</v>
      </c>
      <c r="C199" s="17">
        <v>13</v>
      </c>
      <c r="D199" s="17">
        <v>24</v>
      </c>
      <c r="E199" s="18" t="s">
        <v>464</v>
      </c>
      <c r="F199" s="12"/>
      <c r="G199" s="12"/>
      <c r="H199" s="12"/>
      <c r="I199" s="12"/>
      <c r="J199" s="12"/>
      <c r="K199" s="12"/>
      <c r="L199" s="12"/>
      <c r="M199" s="12"/>
      <c r="N199" s="12"/>
      <c r="O199" s="12"/>
      <c r="P199" s="12"/>
      <c r="Q199" s="12"/>
      <c r="R199" s="12"/>
      <c r="S199" s="12"/>
      <c r="T199" s="12"/>
      <c r="U199" s="12"/>
      <c r="V199" s="12"/>
      <c r="W199" s="12"/>
      <c r="X199" s="12"/>
      <c r="Y199" s="12"/>
      <c r="Z199" s="12"/>
    </row>
    <row r="200" spans="1:26" ht="13.5" customHeight="1" x14ac:dyDescent="0.25">
      <c r="A200" s="16" t="s">
        <v>354</v>
      </c>
      <c r="B200" s="11" t="s">
        <v>465</v>
      </c>
      <c r="C200" s="17">
        <v>12</v>
      </c>
      <c r="D200" s="17">
        <v>20</v>
      </c>
      <c r="E200" s="18" t="s">
        <v>466</v>
      </c>
      <c r="F200" s="12"/>
      <c r="G200" s="12"/>
      <c r="H200" s="12"/>
      <c r="I200" s="12"/>
      <c r="J200" s="12"/>
      <c r="K200" s="12"/>
      <c r="L200" s="12"/>
      <c r="M200" s="12"/>
      <c r="N200" s="12"/>
      <c r="O200" s="12"/>
      <c r="P200" s="12"/>
      <c r="Q200" s="12"/>
      <c r="R200" s="12"/>
      <c r="S200" s="12"/>
      <c r="T200" s="12"/>
      <c r="U200" s="12"/>
      <c r="V200" s="12"/>
      <c r="W200" s="12"/>
      <c r="X200" s="12"/>
      <c r="Y200" s="12"/>
      <c r="Z200" s="12"/>
    </row>
    <row r="201" spans="1:26" ht="13.5" customHeight="1" x14ac:dyDescent="0.25">
      <c r="A201" s="16" t="s">
        <v>354</v>
      </c>
      <c r="B201" s="11" t="s">
        <v>467</v>
      </c>
      <c r="C201" s="17">
        <v>10</v>
      </c>
      <c r="D201" s="17">
        <v>18</v>
      </c>
      <c r="E201" s="18" t="s">
        <v>468</v>
      </c>
      <c r="F201" s="12"/>
      <c r="G201" s="12"/>
      <c r="H201" s="12"/>
      <c r="I201" s="12"/>
      <c r="J201" s="12"/>
      <c r="K201" s="12"/>
      <c r="L201" s="12"/>
      <c r="M201" s="12"/>
      <c r="N201" s="12"/>
      <c r="O201" s="12"/>
      <c r="P201" s="12"/>
      <c r="Q201" s="12"/>
      <c r="R201" s="12"/>
      <c r="S201" s="12"/>
      <c r="T201" s="12"/>
      <c r="U201" s="12"/>
      <c r="V201" s="12"/>
      <c r="W201" s="12"/>
      <c r="X201" s="12"/>
      <c r="Y201" s="12"/>
      <c r="Z201" s="12"/>
    </row>
    <row r="202" spans="1:26" ht="13.5" customHeight="1" x14ac:dyDescent="0.25">
      <c r="A202" s="16" t="s">
        <v>354</v>
      </c>
      <c r="B202" s="11" t="s">
        <v>469</v>
      </c>
      <c r="C202" s="17">
        <v>9</v>
      </c>
      <c r="D202" s="17">
        <v>55</v>
      </c>
      <c r="E202" s="18" t="s">
        <v>470</v>
      </c>
      <c r="F202" s="12"/>
      <c r="G202" s="12"/>
      <c r="H202" s="12"/>
      <c r="I202" s="12"/>
      <c r="J202" s="12"/>
      <c r="K202" s="12"/>
      <c r="L202" s="12"/>
      <c r="M202" s="12"/>
      <c r="N202" s="12"/>
      <c r="O202" s="12"/>
      <c r="P202" s="12"/>
      <c r="Q202" s="12"/>
      <c r="R202" s="12"/>
      <c r="S202" s="12"/>
      <c r="T202" s="12"/>
      <c r="U202" s="12"/>
      <c r="V202" s="12"/>
      <c r="W202" s="12"/>
      <c r="X202" s="12"/>
      <c r="Y202" s="12"/>
      <c r="Z202" s="12"/>
    </row>
    <row r="203" spans="1:26" ht="13.5" customHeight="1" x14ac:dyDescent="0.25">
      <c r="A203" s="16" t="s">
        <v>354</v>
      </c>
      <c r="B203" s="11" t="s">
        <v>471</v>
      </c>
      <c r="C203" s="17">
        <v>9</v>
      </c>
      <c r="D203" s="17">
        <v>20</v>
      </c>
      <c r="E203" s="18" t="s">
        <v>472</v>
      </c>
      <c r="F203" s="12"/>
      <c r="G203" s="12"/>
      <c r="H203" s="12"/>
      <c r="I203" s="12"/>
      <c r="J203" s="12"/>
      <c r="K203" s="12"/>
      <c r="L203" s="12"/>
      <c r="M203" s="12"/>
      <c r="N203" s="12"/>
      <c r="O203" s="12"/>
      <c r="P203" s="12"/>
      <c r="Q203" s="12"/>
      <c r="R203" s="12"/>
      <c r="S203" s="12"/>
      <c r="T203" s="12"/>
      <c r="U203" s="12"/>
      <c r="V203" s="12"/>
      <c r="W203" s="12"/>
      <c r="X203" s="12"/>
      <c r="Y203" s="12"/>
      <c r="Z203" s="12"/>
    </row>
    <row r="204" spans="1:26" ht="13.5" customHeight="1" x14ac:dyDescent="0.25">
      <c r="A204" s="16" t="s">
        <v>354</v>
      </c>
      <c r="B204" s="11" t="s">
        <v>473</v>
      </c>
      <c r="C204" s="17">
        <v>9</v>
      </c>
      <c r="D204" s="17">
        <v>22</v>
      </c>
      <c r="E204" s="18" t="s">
        <v>474</v>
      </c>
      <c r="F204" s="12"/>
      <c r="G204" s="12"/>
      <c r="H204" s="12"/>
      <c r="I204" s="12"/>
      <c r="J204" s="12"/>
      <c r="K204" s="12"/>
      <c r="L204" s="12"/>
      <c r="M204" s="12"/>
      <c r="N204" s="12"/>
      <c r="O204" s="12"/>
      <c r="P204" s="12"/>
      <c r="Q204" s="12"/>
      <c r="R204" s="12"/>
      <c r="S204" s="12"/>
      <c r="T204" s="12"/>
      <c r="U204" s="12"/>
      <c r="V204" s="12"/>
      <c r="W204" s="12"/>
      <c r="X204" s="12"/>
      <c r="Y204" s="12"/>
      <c r="Z204" s="12"/>
    </row>
    <row r="205" spans="1:26" ht="13.5" customHeight="1" x14ac:dyDescent="0.25">
      <c r="A205" s="16" t="s">
        <v>354</v>
      </c>
      <c r="B205" s="11" t="s">
        <v>475</v>
      </c>
      <c r="C205" s="17">
        <v>9</v>
      </c>
      <c r="D205" s="17">
        <v>20</v>
      </c>
      <c r="E205" s="18" t="s">
        <v>476</v>
      </c>
      <c r="F205" s="12"/>
      <c r="G205" s="12"/>
      <c r="H205" s="12"/>
      <c r="I205" s="12"/>
      <c r="J205" s="12"/>
      <c r="K205" s="12"/>
      <c r="L205" s="12"/>
      <c r="M205" s="12"/>
      <c r="N205" s="12"/>
      <c r="O205" s="12"/>
      <c r="P205" s="12"/>
      <c r="Q205" s="12"/>
      <c r="R205" s="12"/>
      <c r="S205" s="12"/>
      <c r="T205" s="12"/>
      <c r="U205" s="12"/>
      <c r="V205" s="12"/>
      <c r="W205" s="12"/>
      <c r="X205" s="12"/>
      <c r="Y205" s="12"/>
      <c r="Z205" s="12"/>
    </row>
    <row r="206" spans="1:26" ht="13.5" customHeight="1" x14ac:dyDescent="0.25">
      <c r="A206" s="16" t="s">
        <v>354</v>
      </c>
      <c r="B206" s="11" t="s">
        <v>477</v>
      </c>
      <c r="C206" s="17">
        <v>9</v>
      </c>
      <c r="D206" s="17">
        <v>20</v>
      </c>
      <c r="E206" s="18" t="s">
        <v>478</v>
      </c>
      <c r="F206" s="12"/>
      <c r="G206" s="12"/>
      <c r="H206" s="12"/>
      <c r="I206" s="12"/>
      <c r="J206" s="12"/>
      <c r="K206" s="12"/>
      <c r="L206" s="12"/>
      <c r="M206" s="12"/>
      <c r="N206" s="12"/>
      <c r="O206" s="12"/>
      <c r="P206" s="12"/>
      <c r="Q206" s="12"/>
      <c r="R206" s="12"/>
      <c r="S206" s="12"/>
      <c r="T206" s="12"/>
      <c r="U206" s="12"/>
      <c r="V206" s="12"/>
      <c r="W206" s="12"/>
      <c r="X206" s="12"/>
      <c r="Y206" s="12"/>
      <c r="Z206" s="12"/>
    </row>
    <row r="207" spans="1:26" ht="13.5" customHeight="1" x14ac:dyDescent="0.25">
      <c r="A207" s="16" t="s">
        <v>354</v>
      </c>
      <c r="B207" s="11" t="s">
        <v>479</v>
      </c>
      <c r="C207" s="17">
        <v>8</v>
      </c>
      <c r="D207" s="17">
        <v>19</v>
      </c>
      <c r="E207" s="18" t="s">
        <v>480</v>
      </c>
      <c r="F207" s="12"/>
      <c r="G207" s="12"/>
      <c r="H207" s="12"/>
      <c r="I207" s="12"/>
      <c r="J207" s="12"/>
      <c r="K207" s="12"/>
      <c r="L207" s="12"/>
      <c r="M207" s="12"/>
      <c r="N207" s="12"/>
      <c r="O207" s="12"/>
      <c r="P207" s="12"/>
      <c r="Q207" s="12"/>
      <c r="R207" s="12"/>
      <c r="S207" s="12"/>
      <c r="T207" s="12"/>
      <c r="U207" s="12"/>
      <c r="V207" s="12"/>
      <c r="W207" s="12"/>
      <c r="X207" s="12"/>
      <c r="Y207" s="12"/>
      <c r="Z207" s="12"/>
    </row>
    <row r="208" spans="1:26" ht="13.5" customHeight="1" x14ac:dyDescent="0.25">
      <c r="A208" s="16" t="s">
        <v>354</v>
      </c>
      <c r="B208" s="11" t="s">
        <v>481</v>
      </c>
      <c r="C208" s="17">
        <v>7</v>
      </c>
      <c r="D208" s="17">
        <v>13</v>
      </c>
      <c r="E208" s="18" t="s">
        <v>482</v>
      </c>
      <c r="F208" s="12"/>
      <c r="G208" s="12"/>
      <c r="H208" s="12"/>
      <c r="I208" s="12"/>
      <c r="J208" s="12"/>
      <c r="K208" s="12"/>
      <c r="L208" s="12"/>
      <c r="M208" s="12"/>
      <c r="N208" s="12"/>
      <c r="O208" s="12"/>
      <c r="P208" s="12"/>
      <c r="Q208" s="12"/>
      <c r="R208" s="12"/>
      <c r="S208" s="12"/>
      <c r="T208" s="12"/>
      <c r="U208" s="12"/>
      <c r="V208" s="12"/>
      <c r="W208" s="12"/>
      <c r="X208" s="12"/>
      <c r="Y208" s="12"/>
      <c r="Z208" s="12"/>
    </row>
    <row r="209" spans="1:26" ht="13.5" customHeight="1" x14ac:dyDescent="0.25">
      <c r="A209" s="16" t="s">
        <v>354</v>
      </c>
      <c r="B209" s="11" t="s">
        <v>483</v>
      </c>
      <c r="C209" s="17">
        <v>7</v>
      </c>
      <c r="D209" s="17">
        <v>13</v>
      </c>
      <c r="E209" s="18" t="s">
        <v>484</v>
      </c>
      <c r="F209" s="12"/>
      <c r="G209" s="12"/>
      <c r="H209" s="12"/>
      <c r="I209" s="12"/>
      <c r="J209" s="12"/>
      <c r="K209" s="12"/>
      <c r="L209" s="12"/>
      <c r="M209" s="12"/>
      <c r="N209" s="12"/>
      <c r="O209" s="12"/>
      <c r="P209" s="12"/>
      <c r="Q209" s="12"/>
      <c r="R209" s="12"/>
      <c r="S209" s="12"/>
      <c r="T209" s="12"/>
      <c r="U209" s="12"/>
      <c r="V209" s="12"/>
      <c r="W209" s="12"/>
      <c r="X209" s="12"/>
      <c r="Y209" s="12"/>
      <c r="Z209" s="12"/>
    </row>
    <row r="210" spans="1:26" ht="13.5" customHeight="1" x14ac:dyDescent="0.25">
      <c r="A210" s="16" t="s">
        <v>354</v>
      </c>
      <c r="B210" s="11" t="s">
        <v>485</v>
      </c>
      <c r="C210" s="17">
        <v>7</v>
      </c>
      <c r="D210" s="17">
        <v>12</v>
      </c>
      <c r="E210" s="18" t="s">
        <v>486</v>
      </c>
      <c r="F210" s="12"/>
      <c r="G210" s="12"/>
      <c r="H210" s="12"/>
      <c r="I210" s="12"/>
      <c r="J210" s="12"/>
      <c r="K210" s="12"/>
      <c r="L210" s="12"/>
      <c r="M210" s="12"/>
      <c r="N210" s="12"/>
      <c r="O210" s="12"/>
      <c r="P210" s="12"/>
      <c r="Q210" s="12"/>
      <c r="R210" s="12"/>
      <c r="S210" s="12"/>
      <c r="T210" s="12"/>
      <c r="U210" s="12"/>
      <c r="V210" s="12"/>
      <c r="W210" s="12"/>
      <c r="X210" s="12"/>
      <c r="Y210" s="12"/>
      <c r="Z210" s="12"/>
    </row>
    <row r="211" spans="1:26" ht="13.5" customHeight="1" x14ac:dyDescent="0.25">
      <c r="A211" s="16" t="s">
        <v>354</v>
      </c>
      <c r="B211" s="11" t="s">
        <v>487</v>
      </c>
      <c r="C211" s="17">
        <v>7</v>
      </c>
      <c r="D211" s="17">
        <v>25</v>
      </c>
      <c r="E211" s="18" t="s">
        <v>488</v>
      </c>
      <c r="F211" s="12"/>
      <c r="G211" s="12"/>
      <c r="H211" s="12"/>
      <c r="I211" s="12"/>
      <c r="J211" s="12"/>
      <c r="K211" s="12"/>
      <c r="L211" s="12"/>
      <c r="M211" s="12"/>
      <c r="N211" s="12"/>
      <c r="O211" s="12"/>
      <c r="P211" s="12"/>
      <c r="Q211" s="12"/>
      <c r="R211" s="12"/>
      <c r="S211" s="12"/>
      <c r="T211" s="12"/>
      <c r="U211" s="12"/>
      <c r="V211" s="12"/>
      <c r="W211" s="12"/>
      <c r="X211" s="12"/>
      <c r="Y211" s="12"/>
      <c r="Z211" s="12"/>
    </row>
    <row r="212" spans="1:26" ht="13.5" customHeight="1" x14ac:dyDescent="0.25">
      <c r="A212" s="16" t="s">
        <v>354</v>
      </c>
      <c r="B212" s="11" t="s">
        <v>489</v>
      </c>
      <c r="C212" s="17">
        <v>7</v>
      </c>
      <c r="D212" s="17">
        <v>13</v>
      </c>
      <c r="E212" s="18" t="s">
        <v>490</v>
      </c>
      <c r="F212" s="12"/>
      <c r="G212" s="12"/>
      <c r="H212" s="12"/>
      <c r="I212" s="12"/>
      <c r="J212" s="12"/>
      <c r="K212" s="12"/>
      <c r="L212" s="12"/>
      <c r="M212" s="12"/>
      <c r="N212" s="12"/>
      <c r="O212" s="12"/>
      <c r="P212" s="12"/>
      <c r="Q212" s="12"/>
      <c r="R212" s="12"/>
      <c r="S212" s="12"/>
      <c r="T212" s="12"/>
      <c r="U212" s="12"/>
      <c r="V212" s="12"/>
      <c r="W212" s="12"/>
      <c r="X212" s="12"/>
      <c r="Y212" s="12"/>
      <c r="Z212" s="12"/>
    </row>
    <row r="213" spans="1:26" ht="13.5" customHeight="1" x14ac:dyDescent="0.25">
      <c r="A213" s="16" t="s">
        <v>354</v>
      </c>
      <c r="B213" s="11" t="s">
        <v>491</v>
      </c>
      <c r="C213" s="17">
        <v>7</v>
      </c>
      <c r="D213" s="17">
        <v>12</v>
      </c>
      <c r="E213" s="18" t="s">
        <v>492</v>
      </c>
      <c r="F213" s="12"/>
      <c r="G213" s="12"/>
      <c r="H213" s="12"/>
      <c r="I213" s="12"/>
      <c r="J213" s="12"/>
      <c r="K213" s="12"/>
      <c r="L213" s="12"/>
      <c r="M213" s="12"/>
      <c r="N213" s="12"/>
      <c r="O213" s="12"/>
      <c r="P213" s="12"/>
      <c r="Q213" s="12"/>
      <c r="R213" s="12"/>
      <c r="S213" s="12"/>
      <c r="T213" s="12"/>
      <c r="U213" s="12"/>
      <c r="V213" s="12"/>
      <c r="W213" s="12"/>
      <c r="X213" s="12"/>
      <c r="Y213" s="12"/>
      <c r="Z213" s="12"/>
    </row>
    <row r="214" spans="1:26" ht="13.5" customHeight="1" x14ac:dyDescent="0.25">
      <c r="A214" s="16" t="s">
        <v>354</v>
      </c>
      <c r="B214" s="11" t="s">
        <v>493</v>
      </c>
      <c r="C214" s="17">
        <v>6</v>
      </c>
      <c r="D214" s="17">
        <v>17</v>
      </c>
      <c r="E214" s="18" t="s">
        <v>494</v>
      </c>
      <c r="F214" s="12"/>
      <c r="G214" s="12"/>
      <c r="H214" s="12"/>
      <c r="I214" s="12"/>
      <c r="J214" s="12"/>
      <c r="K214" s="12"/>
      <c r="L214" s="12"/>
      <c r="M214" s="12"/>
      <c r="N214" s="12"/>
      <c r="O214" s="12"/>
      <c r="P214" s="12"/>
      <c r="Q214" s="12"/>
      <c r="R214" s="12"/>
      <c r="S214" s="12"/>
      <c r="T214" s="12"/>
      <c r="U214" s="12"/>
      <c r="V214" s="12"/>
      <c r="W214" s="12"/>
      <c r="X214" s="12"/>
      <c r="Y214" s="12"/>
      <c r="Z214" s="12"/>
    </row>
    <row r="215" spans="1:26" ht="13.5" customHeight="1" x14ac:dyDescent="0.25">
      <c r="A215" s="16" t="s">
        <v>354</v>
      </c>
      <c r="B215" s="11" t="s">
        <v>495</v>
      </c>
      <c r="C215" s="17">
        <v>6</v>
      </c>
      <c r="D215" s="17">
        <v>25</v>
      </c>
      <c r="E215" s="18" t="s">
        <v>496</v>
      </c>
      <c r="F215" s="12"/>
      <c r="G215" s="12"/>
      <c r="H215" s="12"/>
      <c r="I215" s="12"/>
      <c r="J215" s="12"/>
      <c r="K215" s="12"/>
      <c r="L215" s="12"/>
      <c r="M215" s="12"/>
      <c r="N215" s="12"/>
      <c r="O215" s="12"/>
      <c r="P215" s="12"/>
      <c r="Q215" s="12"/>
      <c r="R215" s="12"/>
      <c r="S215" s="12"/>
      <c r="T215" s="12"/>
      <c r="U215" s="12"/>
      <c r="V215" s="12"/>
      <c r="W215" s="12"/>
      <c r="X215" s="12"/>
      <c r="Y215" s="12"/>
      <c r="Z215" s="12"/>
    </row>
    <row r="216" spans="1:26" ht="13.5" customHeight="1" x14ac:dyDescent="0.25">
      <c r="A216" s="16" t="s">
        <v>354</v>
      </c>
      <c r="B216" s="11" t="s">
        <v>497</v>
      </c>
      <c r="C216" s="17">
        <v>6</v>
      </c>
      <c r="D216" s="17">
        <v>19</v>
      </c>
      <c r="E216" s="18" t="s">
        <v>498</v>
      </c>
      <c r="F216" s="12"/>
      <c r="G216" s="12"/>
      <c r="H216" s="12"/>
      <c r="I216" s="12"/>
      <c r="J216" s="12"/>
      <c r="K216" s="12"/>
      <c r="L216" s="12"/>
      <c r="M216" s="12"/>
      <c r="N216" s="12"/>
      <c r="O216" s="12"/>
      <c r="P216" s="12"/>
      <c r="Q216" s="12"/>
      <c r="R216" s="12"/>
      <c r="S216" s="12"/>
      <c r="T216" s="12"/>
      <c r="U216" s="12"/>
      <c r="V216" s="12"/>
      <c r="W216" s="12"/>
      <c r="X216" s="12"/>
      <c r="Y216" s="12"/>
      <c r="Z216" s="12"/>
    </row>
    <row r="217" spans="1:26" ht="13.5" customHeight="1" x14ac:dyDescent="0.25">
      <c r="A217" s="16" t="s">
        <v>354</v>
      </c>
      <c r="B217" s="11" t="s">
        <v>499</v>
      </c>
      <c r="C217" s="17">
        <v>6</v>
      </c>
      <c r="D217" s="17">
        <v>13</v>
      </c>
      <c r="E217" s="18" t="s">
        <v>500</v>
      </c>
      <c r="F217" s="12"/>
      <c r="G217" s="12"/>
      <c r="H217" s="12"/>
      <c r="I217" s="12"/>
      <c r="J217" s="12"/>
      <c r="K217" s="12"/>
      <c r="L217" s="12"/>
      <c r="M217" s="12"/>
      <c r="N217" s="12"/>
      <c r="O217" s="12"/>
      <c r="P217" s="12"/>
      <c r="Q217" s="12"/>
      <c r="R217" s="12"/>
      <c r="S217" s="12"/>
      <c r="T217" s="12"/>
      <c r="U217" s="12"/>
      <c r="V217" s="12"/>
      <c r="W217" s="12"/>
      <c r="X217" s="12"/>
      <c r="Y217" s="12"/>
      <c r="Z217" s="12"/>
    </row>
    <row r="218" spans="1:26" ht="13.5" customHeight="1" x14ac:dyDescent="0.25">
      <c r="A218" s="16" t="s">
        <v>354</v>
      </c>
      <c r="B218" s="11" t="s">
        <v>501</v>
      </c>
      <c r="C218" s="17">
        <v>6</v>
      </c>
      <c r="D218" s="17">
        <v>10</v>
      </c>
      <c r="E218" s="18" t="s">
        <v>502</v>
      </c>
      <c r="F218" s="12"/>
      <c r="G218" s="12"/>
      <c r="H218" s="12"/>
      <c r="I218" s="12"/>
      <c r="J218" s="12"/>
      <c r="K218" s="12"/>
      <c r="L218" s="12"/>
      <c r="M218" s="12"/>
      <c r="N218" s="12"/>
      <c r="O218" s="12"/>
      <c r="P218" s="12"/>
      <c r="Q218" s="12"/>
      <c r="R218" s="12"/>
      <c r="S218" s="12"/>
      <c r="T218" s="12"/>
      <c r="U218" s="12"/>
      <c r="V218" s="12"/>
      <c r="W218" s="12"/>
      <c r="X218" s="12"/>
      <c r="Y218" s="12"/>
      <c r="Z218" s="12"/>
    </row>
    <row r="219" spans="1:26" ht="13.5" customHeight="1" x14ac:dyDescent="0.25">
      <c r="A219" s="16" t="s">
        <v>354</v>
      </c>
      <c r="B219" s="11" t="s">
        <v>503</v>
      </c>
      <c r="C219" s="17">
        <v>5</v>
      </c>
      <c r="D219" s="17">
        <v>6</v>
      </c>
      <c r="E219" s="18" t="s">
        <v>504</v>
      </c>
      <c r="F219" s="12"/>
      <c r="G219" s="12"/>
      <c r="H219" s="12"/>
      <c r="I219" s="12"/>
      <c r="J219" s="12"/>
      <c r="K219" s="12"/>
      <c r="L219" s="12"/>
      <c r="M219" s="12"/>
      <c r="N219" s="12"/>
      <c r="O219" s="12"/>
      <c r="P219" s="12"/>
      <c r="Q219" s="12"/>
      <c r="R219" s="12"/>
      <c r="S219" s="12"/>
      <c r="T219" s="12"/>
      <c r="U219" s="12"/>
      <c r="V219" s="12"/>
      <c r="W219" s="12"/>
      <c r="X219" s="12"/>
      <c r="Y219" s="12"/>
      <c r="Z219" s="12"/>
    </row>
    <row r="220" spans="1:26" ht="13.5" customHeight="1" x14ac:dyDescent="0.25">
      <c r="A220" s="16" t="s">
        <v>354</v>
      </c>
      <c r="B220" s="11" t="s">
        <v>505</v>
      </c>
      <c r="C220" s="17">
        <v>5</v>
      </c>
      <c r="D220" s="17">
        <v>10</v>
      </c>
      <c r="E220" s="18" t="s">
        <v>506</v>
      </c>
      <c r="F220" s="12"/>
      <c r="G220" s="12"/>
      <c r="H220" s="12"/>
      <c r="I220" s="12"/>
      <c r="J220" s="12"/>
      <c r="K220" s="12"/>
      <c r="L220" s="12"/>
      <c r="M220" s="12"/>
      <c r="N220" s="12"/>
      <c r="O220" s="12"/>
      <c r="P220" s="12"/>
      <c r="Q220" s="12"/>
      <c r="R220" s="12"/>
      <c r="S220" s="12"/>
      <c r="T220" s="12"/>
      <c r="U220" s="12"/>
      <c r="V220" s="12"/>
      <c r="W220" s="12"/>
      <c r="X220" s="12"/>
      <c r="Y220" s="12"/>
      <c r="Z220" s="12"/>
    </row>
    <row r="221" spans="1:26" ht="13.5" customHeight="1" x14ac:dyDescent="0.25">
      <c r="A221" s="16" t="s">
        <v>354</v>
      </c>
      <c r="B221" s="11" t="s">
        <v>507</v>
      </c>
      <c r="C221" s="17">
        <v>5</v>
      </c>
      <c r="D221" s="17">
        <v>13</v>
      </c>
      <c r="E221" s="18" t="s">
        <v>508</v>
      </c>
      <c r="F221" s="12"/>
      <c r="G221" s="12"/>
      <c r="H221" s="12"/>
      <c r="I221" s="12"/>
      <c r="J221" s="12"/>
      <c r="K221" s="12"/>
      <c r="L221" s="12"/>
      <c r="M221" s="12"/>
      <c r="N221" s="12"/>
      <c r="O221" s="12"/>
      <c r="P221" s="12"/>
      <c r="Q221" s="12"/>
      <c r="R221" s="12"/>
      <c r="S221" s="12"/>
      <c r="T221" s="12"/>
      <c r="U221" s="12"/>
      <c r="V221" s="12"/>
      <c r="W221" s="12"/>
      <c r="X221" s="12"/>
      <c r="Y221" s="12"/>
      <c r="Z221" s="12"/>
    </row>
    <row r="222" spans="1:26" ht="13.5" customHeight="1" x14ac:dyDescent="0.25">
      <c r="A222" s="16" t="s">
        <v>354</v>
      </c>
      <c r="B222" s="11" t="s">
        <v>509</v>
      </c>
      <c r="C222" s="17">
        <v>5</v>
      </c>
      <c r="D222" s="17">
        <v>16</v>
      </c>
      <c r="E222" s="18" t="s">
        <v>510</v>
      </c>
      <c r="F222" s="12"/>
      <c r="G222" s="12"/>
      <c r="H222" s="12"/>
      <c r="I222" s="12"/>
      <c r="J222" s="12"/>
      <c r="K222" s="12"/>
      <c r="L222" s="12"/>
      <c r="M222" s="12"/>
      <c r="N222" s="12"/>
      <c r="O222" s="12"/>
      <c r="P222" s="12"/>
      <c r="Q222" s="12"/>
      <c r="R222" s="12"/>
      <c r="S222" s="12"/>
      <c r="T222" s="12"/>
      <c r="U222" s="12"/>
      <c r="V222" s="12"/>
      <c r="W222" s="12"/>
      <c r="X222" s="12"/>
      <c r="Y222" s="12"/>
      <c r="Z222" s="12"/>
    </row>
    <row r="223" spans="1:26" ht="13.5" customHeight="1" x14ac:dyDescent="0.25">
      <c r="A223" s="16" t="s">
        <v>354</v>
      </c>
      <c r="B223" s="11" t="s">
        <v>511</v>
      </c>
      <c r="C223" s="17">
        <v>5</v>
      </c>
      <c r="D223" s="17">
        <v>18</v>
      </c>
      <c r="E223" s="18" t="s">
        <v>512</v>
      </c>
      <c r="F223" s="12"/>
      <c r="G223" s="12"/>
      <c r="H223" s="12"/>
      <c r="I223" s="12"/>
      <c r="J223" s="12"/>
      <c r="K223" s="12"/>
      <c r="L223" s="12"/>
      <c r="M223" s="12"/>
      <c r="N223" s="12"/>
      <c r="O223" s="12"/>
      <c r="P223" s="12"/>
      <c r="Q223" s="12"/>
      <c r="R223" s="12"/>
      <c r="S223" s="12"/>
      <c r="T223" s="12"/>
      <c r="U223" s="12"/>
      <c r="V223" s="12"/>
      <c r="W223" s="12"/>
      <c r="X223" s="12"/>
      <c r="Y223" s="12"/>
      <c r="Z223" s="12"/>
    </row>
    <row r="224" spans="1:26" ht="13.5" customHeight="1" x14ac:dyDescent="0.25">
      <c r="A224" s="16" t="s">
        <v>354</v>
      </c>
      <c r="B224" s="11" t="s">
        <v>513</v>
      </c>
      <c r="C224" s="17">
        <v>4</v>
      </c>
      <c r="D224" s="17">
        <v>9</v>
      </c>
      <c r="E224" s="18" t="s">
        <v>514</v>
      </c>
      <c r="F224" s="12"/>
      <c r="G224" s="12"/>
      <c r="H224" s="12"/>
      <c r="I224" s="12"/>
      <c r="J224" s="12"/>
      <c r="K224" s="12"/>
      <c r="L224" s="12"/>
      <c r="M224" s="12"/>
      <c r="N224" s="12"/>
      <c r="O224" s="12"/>
      <c r="P224" s="12"/>
      <c r="Q224" s="12"/>
      <c r="R224" s="12"/>
      <c r="S224" s="12"/>
      <c r="T224" s="12"/>
      <c r="U224" s="12"/>
      <c r="V224" s="12"/>
      <c r="W224" s="12"/>
      <c r="X224" s="12"/>
      <c r="Y224" s="12"/>
      <c r="Z224" s="12"/>
    </row>
    <row r="225" spans="1:26" ht="13.5" customHeight="1" x14ac:dyDescent="0.25">
      <c r="A225" s="16" t="s">
        <v>354</v>
      </c>
      <c r="B225" s="11" t="s">
        <v>515</v>
      </c>
      <c r="C225" s="17">
        <v>4</v>
      </c>
      <c r="D225" s="17">
        <v>18</v>
      </c>
      <c r="E225" s="18" t="s">
        <v>516</v>
      </c>
      <c r="F225" s="12"/>
      <c r="G225" s="12"/>
      <c r="H225" s="12"/>
      <c r="I225" s="12"/>
      <c r="J225" s="12"/>
      <c r="K225" s="12"/>
      <c r="L225" s="12"/>
      <c r="M225" s="12"/>
      <c r="N225" s="12"/>
      <c r="O225" s="12"/>
      <c r="P225" s="12"/>
      <c r="Q225" s="12"/>
      <c r="R225" s="12"/>
      <c r="S225" s="12"/>
      <c r="T225" s="12"/>
      <c r="U225" s="12"/>
      <c r="V225" s="12"/>
      <c r="W225" s="12"/>
      <c r="X225" s="12"/>
      <c r="Y225" s="12"/>
      <c r="Z225" s="12"/>
    </row>
    <row r="226" spans="1:26" ht="13.5" customHeight="1" x14ac:dyDescent="0.25">
      <c r="A226" s="16" t="s">
        <v>354</v>
      </c>
      <c r="B226" s="11" t="s">
        <v>517</v>
      </c>
      <c r="C226" s="17">
        <v>4</v>
      </c>
      <c r="D226" s="17">
        <v>7</v>
      </c>
      <c r="E226" s="18" t="s">
        <v>518</v>
      </c>
      <c r="F226" s="12"/>
      <c r="G226" s="12"/>
      <c r="H226" s="12"/>
      <c r="I226" s="12"/>
      <c r="J226" s="12"/>
      <c r="K226" s="12"/>
      <c r="L226" s="12"/>
      <c r="M226" s="12"/>
      <c r="N226" s="12"/>
      <c r="O226" s="12"/>
      <c r="P226" s="12"/>
      <c r="Q226" s="12"/>
      <c r="R226" s="12"/>
      <c r="S226" s="12"/>
      <c r="T226" s="12"/>
      <c r="U226" s="12"/>
      <c r="V226" s="12"/>
      <c r="W226" s="12"/>
      <c r="X226" s="12"/>
      <c r="Y226" s="12"/>
      <c r="Z226" s="12"/>
    </row>
    <row r="227" spans="1:26" ht="13.5" customHeight="1" x14ac:dyDescent="0.25">
      <c r="A227" s="16" t="s">
        <v>354</v>
      </c>
      <c r="B227" s="11" t="s">
        <v>519</v>
      </c>
      <c r="C227" s="17">
        <v>4</v>
      </c>
      <c r="D227" s="17">
        <v>10</v>
      </c>
      <c r="E227" s="18" t="s">
        <v>520</v>
      </c>
      <c r="F227" s="12"/>
      <c r="G227" s="12"/>
      <c r="H227" s="12"/>
      <c r="I227" s="12"/>
      <c r="J227" s="12"/>
      <c r="K227" s="12"/>
      <c r="L227" s="12"/>
      <c r="M227" s="12"/>
      <c r="N227" s="12"/>
      <c r="O227" s="12"/>
      <c r="P227" s="12"/>
      <c r="Q227" s="12"/>
      <c r="R227" s="12"/>
      <c r="S227" s="12"/>
      <c r="T227" s="12"/>
      <c r="U227" s="12"/>
      <c r="V227" s="12"/>
      <c r="W227" s="12"/>
      <c r="X227" s="12"/>
      <c r="Y227" s="12"/>
      <c r="Z227" s="12"/>
    </row>
    <row r="228" spans="1:26" ht="13.5" customHeight="1" x14ac:dyDescent="0.25">
      <c r="A228" s="16" t="s">
        <v>354</v>
      </c>
      <c r="B228" s="11" t="s">
        <v>521</v>
      </c>
      <c r="C228" s="17">
        <v>4</v>
      </c>
      <c r="D228" s="17">
        <v>9</v>
      </c>
      <c r="E228" s="18" t="s">
        <v>522</v>
      </c>
      <c r="F228" s="12"/>
      <c r="G228" s="12"/>
      <c r="H228" s="12"/>
      <c r="I228" s="12"/>
      <c r="J228" s="12"/>
      <c r="K228" s="12"/>
      <c r="L228" s="12"/>
      <c r="M228" s="12"/>
      <c r="N228" s="12"/>
      <c r="O228" s="12"/>
      <c r="P228" s="12"/>
      <c r="Q228" s="12"/>
      <c r="R228" s="12"/>
      <c r="S228" s="12"/>
      <c r="T228" s="12"/>
      <c r="U228" s="12"/>
      <c r="V228" s="12"/>
      <c r="W228" s="12"/>
      <c r="X228" s="12"/>
      <c r="Y228" s="12"/>
      <c r="Z228" s="12"/>
    </row>
    <row r="229" spans="1:26" ht="13.5" customHeight="1" x14ac:dyDescent="0.25">
      <c r="A229" s="16" t="s">
        <v>354</v>
      </c>
      <c r="B229" s="11" t="s">
        <v>523</v>
      </c>
      <c r="C229" s="17">
        <v>4</v>
      </c>
      <c r="D229" s="17">
        <v>9</v>
      </c>
      <c r="E229" s="18" t="s">
        <v>524</v>
      </c>
      <c r="F229" s="12"/>
      <c r="G229" s="12"/>
      <c r="H229" s="12"/>
      <c r="I229" s="12"/>
      <c r="J229" s="12"/>
      <c r="K229" s="12"/>
      <c r="L229" s="12"/>
      <c r="M229" s="12"/>
      <c r="N229" s="12"/>
      <c r="O229" s="12"/>
      <c r="P229" s="12"/>
      <c r="Q229" s="12"/>
      <c r="R229" s="12"/>
      <c r="S229" s="12"/>
      <c r="T229" s="12"/>
      <c r="U229" s="12"/>
      <c r="V229" s="12"/>
      <c r="W229" s="12"/>
      <c r="X229" s="12"/>
      <c r="Y229" s="12"/>
      <c r="Z229" s="12"/>
    </row>
    <row r="230" spans="1:26" ht="13.5" customHeight="1" x14ac:dyDescent="0.25">
      <c r="A230" s="16" t="s">
        <v>354</v>
      </c>
      <c r="B230" s="11" t="s">
        <v>525</v>
      </c>
      <c r="C230" s="17">
        <v>4</v>
      </c>
      <c r="D230" s="17">
        <v>38</v>
      </c>
      <c r="E230" s="18" t="s">
        <v>526</v>
      </c>
      <c r="F230" s="12"/>
      <c r="G230" s="12"/>
      <c r="H230" s="12"/>
      <c r="I230" s="12"/>
      <c r="J230" s="12"/>
      <c r="K230" s="12"/>
      <c r="L230" s="12"/>
      <c r="M230" s="12"/>
      <c r="N230" s="12"/>
      <c r="O230" s="12"/>
      <c r="P230" s="12"/>
      <c r="Q230" s="12"/>
      <c r="R230" s="12"/>
      <c r="S230" s="12"/>
      <c r="T230" s="12"/>
      <c r="U230" s="12"/>
      <c r="V230" s="12"/>
      <c r="W230" s="12"/>
      <c r="X230" s="12"/>
      <c r="Y230" s="12"/>
      <c r="Z230" s="12"/>
    </row>
    <row r="231" spans="1:26" ht="13.5" customHeight="1" x14ac:dyDescent="0.25">
      <c r="A231" s="16" t="s">
        <v>354</v>
      </c>
      <c r="B231" s="11" t="s">
        <v>527</v>
      </c>
      <c r="C231" s="17">
        <v>4</v>
      </c>
      <c r="D231" s="17">
        <v>5</v>
      </c>
      <c r="E231" s="18" t="s">
        <v>528</v>
      </c>
      <c r="F231" s="12"/>
      <c r="G231" s="12"/>
      <c r="H231" s="12"/>
      <c r="I231" s="12"/>
      <c r="J231" s="12"/>
      <c r="K231" s="12"/>
      <c r="L231" s="12"/>
      <c r="M231" s="12"/>
      <c r="N231" s="12"/>
      <c r="O231" s="12"/>
      <c r="P231" s="12"/>
      <c r="Q231" s="12"/>
      <c r="R231" s="12"/>
      <c r="S231" s="12"/>
      <c r="T231" s="12"/>
      <c r="U231" s="12"/>
      <c r="V231" s="12"/>
      <c r="W231" s="12"/>
      <c r="X231" s="12"/>
      <c r="Y231" s="12"/>
      <c r="Z231" s="12"/>
    </row>
    <row r="232" spans="1:26" ht="13.5" customHeight="1" x14ac:dyDescent="0.25">
      <c r="A232" s="16" t="s">
        <v>354</v>
      </c>
      <c r="B232" s="11" t="s">
        <v>529</v>
      </c>
      <c r="C232" s="17">
        <v>4</v>
      </c>
      <c r="D232" s="17">
        <v>9</v>
      </c>
      <c r="E232" s="18" t="s">
        <v>530</v>
      </c>
      <c r="F232" s="12"/>
      <c r="G232" s="12"/>
      <c r="H232" s="12"/>
      <c r="I232" s="12"/>
      <c r="J232" s="12"/>
      <c r="K232" s="12"/>
      <c r="L232" s="12"/>
      <c r="M232" s="12"/>
      <c r="N232" s="12"/>
      <c r="O232" s="12"/>
      <c r="P232" s="12"/>
      <c r="Q232" s="12"/>
      <c r="R232" s="12"/>
      <c r="S232" s="12"/>
      <c r="T232" s="12"/>
      <c r="U232" s="12"/>
      <c r="V232" s="12"/>
      <c r="W232" s="12"/>
      <c r="X232" s="12"/>
      <c r="Y232" s="12"/>
      <c r="Z232" s="12"/>
    </row>
    <row r="233" spans="1:26" ht="13.5" customHeight="1" x14ac:dyDescent="0.25">
      <c r="A233" s="16" t="s">
        <v>354</v>
      </c>
      <c r="B233" s="11" t="s">
        <v>531</v>
      </c>
      <c r="C233" s="17">
        <v>4</v>
      </c>
      <c r="D233" s="17">
        <v>9</v>
      </c>
      <c r="E233" s="18" t="s">
        <v>532</v>
      </c>
      <c r="F233" s="12"/>
      <c r="G233" s="12"/>
      <c r="H233" s="12"/>
      <c r="I233" s="12"/>
      <c r="J233" s="12"/>
      <c r="K233" s="12"/>
      <c r="L233" s="12"/>
      <c r="M233" s="12"/>
      <c r="N233" s="12"/>
      <c r="O233" s="12"/>
      <c r="P233" s="12"/>
      <c r="Q233" s="12"/>
      <c r="R233" s="12"/>
      <c r="S233" s="12"/>
      <c r="T233" s="12"/>
      <c r="U233" s="12"/>
      <c r="V233" s="12"/>
      <c r="W233" s="12"/>
      <c r="X233" s="12"/>
      <c r="Y233" s="12"/>
      <c r="Z233" s="12"/>
    </row>
    <row r="234" spans="1:26" ht="13.5" customHeight="1" x14ac:dyDescent="0.25">
      <c r="A234" s="16" t="s">
        <v>354</v>
      </c>
      <c r="B234" s="11" t="s">
        <v>533</v>
      </c>
      <c r="C234" s="17">
        <v>4</v>
      </c>
      <c r="D234" s="17">
        <v>25</v>
      </c>
      <c r="E234" s="18" t="s">
        <v>534</v>
      </c>
      <c r="F234" s="12"/>
      <c r="G234" s="12"/>
      <c r="H234" s="12"/>
      <c r="I234" s="12"/>
      <c r="J234" s="12"/>
      <c r="K234" s="12"/>
      <c r="L234" s="12"/>
      <c r="M234" s="12"/>
      <c r="N234" s="12"/>
      <c r="O234" s="12"/>
      <c r="P234" s="12"/>
      <c r="Q234" s="12"/>
      <c r="R234" s="12"/>
      <c r="S234" s="12"/>
      <c r="T234" s="12"/>
      <c r="U234" s="12"/>
      <c r="V234" s="12"/>
      <c r="W234" s="12"/>
      <c r="X234" s="12"/>
      <c r="Y234" s="12"/>
      <c r="Z234" s="12"/>
    </row>
    <row r="235" spans="1:26" ht="13.5" customHeight="1" x14ac:dyDescent="0.25">
      <c r="A235" s="16" t="s">
        <v>354</v>
      </c>
      <c r="B235" s="11" t="s">
        <v>535</v>
      </c>
      <c r="C235" s="17">
        <v>3</v>
      </c>
      <c r="D235" s="17">
        <v>3</v>
      </c>
      <c r="E235" s="18" t="s">
        <v>536</v>
      </c>
      <c r="F235" s="12"/>
      <c r="G235" s="12"/>
      <c r="H235" s="12"/>
      <c r="I235" s="12"/>
      <c r="J235" s="12"/>
      <c r="K235" s="12"/>
      <c r="L235" s="12"/>
      <c r="M235" s="12"/>
      <c r="N235" s="12"/>
      <c r="O235" s="12"/>
      <c r="P235" s="12"/>
      <c r="Q235" s="12"/>
      <c r="R235" s="12"/>
      <c r="S235" s="12"/>
      <c r="T235" s="12"/>
      <c r="U235" s="12"/>
      <c r="V235" s="12"/>
      <c r="W235" s="12"/>
      <c r="X235" s="12"/>
      <c r="Y235" s="12"/>
      <c r="Z235" s="12"/>
    </row>
    <row r="236" spans="1:26" ht="13.5" customHeight="1" x14ac:dyDescent="0.25">
      <c r="A236" s="16" t="s">
        <v>354</v>
      </c>
      <c r="B236" s="11" t="s">
        <v>537</v>
      </c>
      <c r="C236" s="17">
        <v>3</v>
      </c>
      <c r="D236" s="17">
        <v>15</v>
      </c>
      <c r="E236" s="18" t="s">
        <v>538</v>
      </c>
      <c r="F236" s="12"/>
      <c r="G236" s="12"/>
      <c r="H236" s="12"/>
      <c r="I236" s="12"/>
      <c r="J236" s="12"/>
      <c r="K236" s="12"/>
      <c r="L236" s="12"/>
      <c r="M236" s="12"/>
      <c r="N236" s="12"/>
      <c r="O236" s="12"/>
      <c r="P236" s="12"/>
      <c r="Q236" s="12"/>
      <c r="R236" s="12"/>
      <c r="S236" s="12"/>
      <c r="T236" s="12"/>
      <c r="U236" s="12"/>
      <c r="V236" s="12"/>
      <c r="W236" s="12"/>
      <c r="X236" s="12"/>
      <c r="Y236" s="12"/>
      <c r="Z236" s="12"/>
    </row>
    <row r="237" spans="1:26" ht="13.5" customHeight="1" x14ac:dyDescent="0.25">
      <c r="A237" s="16" t="s">
        <v>354</v>
      </c>
      <c r="B237" s="11" t="s">
        <v>539</v>
      </c>
      <c r="C237" s="17">
        <v>3</v>
      </c>
      <c r="D237" s="17">
        <v>7</v>
      </c>
      <c r="E237" s="18" t="s">
        <v>540</v>
      </c>
      <c r="F237" s="12"/>
      <c r="G237" s="12"/>
      <c r="H237" s="12"/>
      <c r="I237" s="12"/>
      <c r="J237" s="12"/>
      <c r="K237" s="12"/>
      <c r="L237" s="12"/>
      <c r="M237" s="12"/>
      <c r="N237" s="12"/>
      <c r="O237" s="12"/>
      <c r="P237" s="12"/>
      <c r="Q237" s="12"/>
      <c r="R237" s="12"/>
      <c r="S237" s="12"/>
      <c r="T237" s="12"/>
      <c r="U237" s="12"/>
      <c r="V237" s="12"/>
      <c r="W237" s="12"/>
      <c r="X237" s="12"/>
      <c r="Y237" s="12"/>
      <c r="Z237" s="12"/>
    </row>
    <row r="238" spans="1:26" ht="13.5" customHeight="1" x14ac:dyDescent="0.25">
      <c r="A238" s="16" t="s">
        <v>354</v>
      </c>
      <c r="B238" s="11" t="s">
        <v>541</v>
      </c>
      <c r="C238" s="17">
        <v>3</v>
      </c>
      <c r="D238" s="17">
        <v>4</v>
      </c>
      <c r="E238" s="18" t="s">
        <v>542</v>
      </c>
      <c r="F238" s="12"/>
      <c r="G238" s="12"/>
      <c r="H238" s="12"/>
      <c r="I238" s="12"/>
      <c r="J238" s="12"/>
      <c r="K238" s="12"/>
      <c r="L238" s="12"/>
      <c r="M238" s="12"/>
      <c r="N238" s="12"/>
      <c r="O238" s="12"/>
      <c r="P238" s="12"/>
      <c r="Q238" s="12"/>
      <c r="R238" s="12"/>
      <c r="S238" s="12"/>
      <c r="T238" s="12"/>
      <c r="U238" s="12"/>
      <c r="V238" s="12"/>
      <c r="W238" s="12"/>
      <c r="X238" s="12"/>
      <c r="Y238" s="12"/>
      <c r="Z238" s="12"/>
    </row>
    <row r="239" spans="1:26" ht="13.5" customHeight="1" x14ac:dyDescent="0.25">
      <c r="A239" s="16" t="s">
        <v>354</v>
      </c>
      <c r="B239" s="11" t="s">
        <v>543</v>
      </c>
      <c r="C239" s="17">
        <v>3</v>
      </c>
      <c r="D239" s="17">
        <v>5</v>
      </c>
      <c r="E239" s="18" t="s">
        <v>544</v>
      </c>
      <c r="F239" s="12"/>
      <c r="G239" s="12"/>
      <c r="H239" s="12"/>
      <c r="I239" s="12"/>
      <c r="J239" s="12"/>
      <c r="K239" s="12"/>
      <c r="L239" s="12"/>
      <c r="M239" s="12"/>
      <c r="N239" s="12"/>
      <c r="O239" s="12"/>
      <c r="P239" s="12"/>
      <c r="Q239" s="12"/>
      <c r="R239" s="12"/>
      <c r="S239" s="12"/>
      <c r="T239" s="12"/>
      <c r="U239" s="12"/>
      <c r="V239" s="12"/>
      <c r="W239" s="12"/>
      <c r="X239" s="12"/>
      <c r="Y239" s="12"/>
      <c r="Z239" s="12"/>
    </row>
    <row r="240" spans="1:26" ht="13.5" customHeight="1" x14ac:dyDescent="0.25">
      <c r="A240" s="16" t="s">
        <v>354</v>
      </c>
      <c r="B240" s="11" t="s">
        <v>545</v>
      </c>
      <c r="C240" s="17">
        <v>3</v>
      </c>
      <c r="D240" s="17">
        <v>6</v>
      </c>
      <c r="E240" s="18" t="s">
        <v>546</v>
      </c>
      <c r="F240" s="12"/>
      <c r="G240" s="12"/>
      <c r="H240" s="12"/>
      <c r="I240" s="12"/>
      <c r="J240" s="12"/>
      <c r="K240" s="12"/>
      <c r="L240" s="12"/>
      <c r="M240" s="12"/>
      <c r="N240" s="12"/>
      <c r="O240" s="12"/>
      <c r="P240" s="12"/>
      <c r="Q240" s="12"/>
      <c r="R240" s="12"/>
      <c r="S240" s="12"/>
      <c r="T240" s="12"/>
      <c r="U240" s="12"/>
      <c r="V240" s="12"/>
      <c r="W240" s="12"/>
      <c r="X240" s="12"/>
      <c r="Y240" s="12"/>
      <c r="Z240" s="12"/>
    </row>
    <row r="241" spans="1:26" ht="13.5" customHeight="1" x14ac:dyDescent="0.25">
      <c r="A241" s="16" t="s">
        <v>354</v>
      </c>
      <c r="B241" s="11" t="s">
        <v>547</v>
      </c>
      <c r="C241" s="17">
        <v>3</v>
      </c>
      <c r="D241" s="17">
        <v>5</v>
      </c>
      <c r="E241" s="18" t="s">
        <v>548</v>
      </c>
      <c r="F241" s="12"/>
      <c r="G241" s="12"/>
      <c r="H241" s="12"/>
      <c r="I241" s="12"/>
      <c r="J241" s="12"/>
      <c r="K241" s="12"/>
      <c r="L241" s="12"/>
      <c r="M241" s="12"/>
      <c r="N241" s="12"/>
      <c r="O241" s="12"/>
      <c r="P241" s="12"/>
      <c r="Q241" s="12"/>
      <c r="R241" s="12"/>
      <c r="S241" s="12"/>
      <c r="T241" s="12"/>
      <c r="U241" s="12"/>
      <c r="V241" s="12"/>
      <c r="W241" s="12"/>
      <c r="X241" s="12"/>
      <c r="Y241" s="12"/>
      <c r="Z241" s="12"/>
    </row>
    <row r="242" spans="1:26" ht="13.5" customHeight="1" x14ac:dyDescent="0.25">
      <c r="A242" s="16" t="s">
        <v>354</v>
      </c>
      <c r="B242" s="11" t="s">
        <v>549</v>
      </c>
      <c r="C242" s="17">
        <v>3</v>
      </c>
      <c r="D242" s="17">
        <v>23</v>
      </c>
      <c r="E242" s="18" t="s">
        <v>550</v>
      </c>
      <c r="F242" s="12"/>
      <c r="G242" s="12"/>
      <c r="H242" s="12"/>
      <c r="I242" s="12"/>
      <c r="J242" s="12"/>
      <c r="K242" s="12"/>
      <c r="L242" s="12"/>
      <c r="M242" s="12"/>
      <c r="N242" s="12"/>
      <c r="O242" s="12"/>
      <c r="P242" s="12"/>
      <c r="Q242" s="12"/>
      <c r="R242" s="12"/>
      <c r="S242" s="12"/>
      <c r="T242" s="12"/>
      <c r="U242" s="12"/>
      <c r="V242" s="12"/>
      <c r="W242" s="12"/>
      <c r="X242" s="12"/>
      <c r="Y242" s="12"/>
      <c r="Z242" s="12"/>
    </row>
    <row r="243" spans="1:26" ht="13.5" customHeight="1" x14ac:dyDescent="0.25">
      <c r="A243" s="16" t="s">
        <v>354</v>
      </c>
      <c r="B243" s="11" t="s">
        <v>551</v>
      </c>
      <c r="C243" s="17">
        <v>3</v>
      </c>
      <c r="D243" s="17">
        <v>21</v>
      </c>
      <c r="E243" s="18" t="s">
        <v>552</v>
      </c>
      <c r="F243" s="12"/>
      <c r="G243" s="12"/>
      <c r="H243" s="12"/>
      <c r="I243" s="12"/>
      <c r="J243" s="12"/>
      <c r="K243" s="12"/>
      <c r="L243" s="12"/>
      <c r="M243" s="12"/>
      <c r="N243" s="12"/>
      <c r="O243" s="12"/>
      <c r="P243" s="12"/>
      <c r="Q243" s="12"/>
      <c r="R243" s="12"/>
      <c r="S243" s="12"/>
      <c r="T243" s="12"/>
      <c r="U243" s="12"/>
      <c r="V243" s="12"/>
      <c r="W243" s="12"/>
      <c r="X243" s="12"/>
      <c r="Y243" s="12"/>
      <c r="Z243" s="12"/>
    </row>
    <row r="244" spans="1:26" ht="13.5" customHeight="1" x14ac:dyDescent="0.25">
      <c r="A244" s="16" t="s">
        <v>354</v>
      </c>
      <c r="B244" s="11" t="s">
        <v>553</v>
      </c>
      <c r="C244" s="17">
        <v>3</v>
      </c>
      <c r="D244" s="17">
        <v>14</v>
      </c>
      <c r="E244" s="18" t="s">
        <v>554</v>
      </c>
      <c r="F244" s="12"/>
      <c r="G244" s="12"/>
      <c r="H244" s="12"/>
      <c r="I244" s="12"/>
      <c r="J244" s="12"/>
      <c r="K244" s="12"/>
      <c r="L244" s="12"/>
      <c r="M244" s="12"/>
      <c r="N244" s="12"/>
      <c r="O244" s="12"/>
      <c r="P244" s="12"/>
      <c r="Q244" s="12"/>
      <c r="R244" s="12"/>
      <c r="S244" s="12"/>
      <c r="T244" s="12"/>
      <c r="U244" s="12"/>
      <c r="V244" s="12"/>
      <c r="W244" s="12"/>
      <c r="X244" s="12"/>
      <c r="Y244" s="12"/>
      <c r="Z244" s="12"/>
    </row>
    <row r="245" spans="1:26" ht="13.5" customHeight="1" x14ac:dyDescent="0.25">
      <c r="A245" s="16" t="s">
        <v>354</v>
      </c>
      <c r="B245" s="11" t="s">
        <v>555</v>
      </c>
      <c r="C245" s="17">
        <v>3</v>
      </c>
      <c r="D245" s="17">
        <v>13</v>
      </c>
      <c r="E245" s="18" t="s">
        <v>556</v>
      </c>
      <c r="F245" s="12"/>
      <c r="G245" s="12"/>
      <c r="H245" s="12"/>
      <c r="I245" s="12"/>
      <c r="J245" s="12"/>
      <c r="K245" s="12"/>
      <c r="L245" s="12"/>
      <c r="M245" s="12"/>
      <c r="N245" s="12"/>
      <c r="O245" s="12"/>
      <c r="P245" s="12"/>
      <c r="Q245" s="12"/>
      <c r="R245" s="12"/>
      <c r="S245" s="12"/>
      <c r="T245" s="12"/>
      <c r="U245" s="12"/>
      <c r="V245" s="12"/>
      <c r="W245" s="12"/>
      <c r="X245" s="12"/>
      <c r="Y245" s="12"/>
      <c r="Z245" s="12"/>
    </row>
    <row r="246" spans="1:26" ht="13.5" customHeight="1" x14ac:dyDescent="0.25">
      <c r="A246" s="16" t="s">
        <v>354</v>
      </c>
      <c r="B246" s="11" t="s">
        <v>557</v>
      </c>
      <c r="C246" s="17">
        <v>3</v>
      </c>
      <c r="D246" s="17">
        <v>6</v>
      </c>
      <c r="E246" s="18" t="s">
        <v>558</v>
      </c>
      <c r="F246" s="12"/>
      <c r="G246" s="12"/>
      <c r="H246" s="12"/>
      <c r="I246" s="12"/>
      <c r="J246" s="12"/>
      <c r="K246" s="12"/>
      <c r="L246" s="12"/>
      <c r="M246" s="12"/>
      <c r="N246" s="12"/>
      <c r="O246" s="12"/>
      <c r="P246" s="12"/>
      <c r="Q246" s="12"/>
      <c r="R246" s="12"/>
      <c r="S246" s="12"/>
      <c r="T246" s="12"/>
      <c r="U246" s="12"/>
      <c r="V246" s="12"/>
      <c r="W246" s="12"/>
      <c r="X246" s="12"/>
      <c r="Y246" s="12"/>
      <c r="Z246" s="12"/>
    </row>
    <row r="247" spans="1:26" ht="13.5" customHeight="1" x14ac:dyDescent="0.25">
      <c r="A247" s="16" t="s">
        <v>354</v>
      </c>
      <c r="B247" s="11" t="s">
        <v>559</v>
      </c>
      <c r="C247" s="17">
        <v>3</v>
      </c>
      <c r="D247" s="17">
        <v>13</v>
      </c>
      <c r="E247" s="18" t="s">
        <v>560</v>
      </c>
      <c r="F247" s="12"/>
      <c r="G247" s="12"/>
      <c r="H247" s="12"/>
      <c r="I247" s="12"/>
      <c r="J247" s="12"/>
      <c r="K247" s="12"/>
      <c r="L247" s="12"/>
      <c r="M247" s="12"/>
      <c r="N247" s="12"/>
      <c r="O247" s="12"/>
      <c r="P247" s="12"/>
      <c r="Q247" s="12"/>
      <c r="R247" s="12"/>
      <c r="S247" s="12"/>
      <c r="T247" s="12"/>
      <c r="U247" s="12"/>
      <c r="V247" s="12"/>
      <c r="W247" s="12"/>
      <c r="X247" s="12"/>
      <c r="Y247" s="12"/>
      <c r="Z247" s="12"/>
    </row>
    <row r="248" spans="1:26" ht="13.5" customHeight="1" x14ac:dyDescent="0.25">
      <c r="A248" s="16" t="s">
        <v>354</v>
      </c>
      <c r="B248" s="11" t="s">
        <v>561</v>
      </c>
      <c r="C248" s="17">
        <v>3</v>
      </c>
      <c r="D248" s="17">
        <v>9</v>
      </c>
      <c r="E248" s="18" t="s">
        <v>562</v>
      </c>
      <c r="F248" s="12"/>
      <c r="G248" s="12"/>
      <c r="H248" s="12"/>
      <c r="I248" s="12"/>
      <c r="J248" s="12"/>
      <c r="K248" s="12"/>
      <c r="L248" s="12"/>
      <c r="M248" s="12"/>
      <c r="N248" s="12"/>
      <c r="O248" s="12"/>
      <c r="P248" s="12"/>
      <c r="Q248" s="12"/>
      <c r="R248" s="12"/>
      <c r="S248" s="12"/>
      <c r="T248" s="12"/>
      <c r="U248" s="12"/>
      <c r="V248" s="12"/>
      <c r="W248" s="12"/>
      <c r="X248" s="12"/>
      <c r="Y248" s="12"/>
      <c r="Z248" s="12"/>
    </row>
    <row r="249" spans="1:26" ht="13.5" customHeight="1" x14ac:dyDescent="0.25">
      <c r="A249" s="27" t="s">
        <v>354</v>
      </c>
      <c r="B249" s="28" t="s">
        <v>563</v>
      </c>
      <c r="C249" s="29">
        <v>3</v>
      </c>
      <c r="D249" s="29">
        <v>15</v>
      </c>
      <c r="E249" s="30" t="s">
        <v>564</v>
      </c>
      <c r="F249" s="12"/>
      <c r="G249" s="12"/>
      <c r="H249" s="12"/>
      <c r="I249" s="12"/>
      <c r="J249" s="12"/>
      <c r="K249" s="12"/>
      <c r="L249" s="12"/>
      <c r="M249" s="12"/>
      <c r="N249" s="12"/>
      <c r="O249" s="12"/>
      <c r="P249" s="12"/>
      <c r="Q249" s="12"/>
      <c r="R249" s="12"/>
      <c r="S249" s="12"/>
      <c r="T249" s="12"/>
      <c r="U249" s="12"/>
      <c r="V249" s="12"/>
      <c r="W249" s="12"/>
      <c r="X249" s="12"/>
      <c r="Y249" s="12"/>
      <c r="Z249" s="12"/>
    </row>
    <row r="250" spans="1:26" ht="13.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3.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3.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3.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3.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3.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3.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3.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3.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3.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3.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3.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3.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3.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3.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3.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3.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3.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3.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3.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3.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3.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3.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3.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3.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3.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3.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3.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3.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3.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3.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3.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3.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3.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3.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3.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3.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3.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3.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3.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3.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3.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3.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3.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3.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3.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3.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3.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3.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3.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3.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3.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3.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3.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3.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3.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3.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3.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3.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3.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3.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3.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3.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3.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3.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3.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3.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3.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3.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3.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3.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3.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3.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3.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3.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3.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3.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3.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3.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3.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3.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3.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3.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3.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3.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3.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3.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3.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3.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3.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3.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3.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3.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3.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3.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3.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3.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3.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3.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3.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3.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3.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3.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3.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3.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3.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3.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3.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3.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3.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3.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3.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3.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3.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3.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3.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3.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3.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3.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3.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3.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3.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3.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3.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3.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3.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3.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3.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3.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3.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3.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3.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3.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3.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3.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3.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3.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3.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3.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3.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3.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3.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3.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3.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3.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3.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3.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3.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3.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3.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3.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3.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3.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3.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3.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3.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3.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3.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3.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3.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3.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3.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3.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3.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3.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3.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3.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3.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3.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3.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3.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3.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3.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3.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3.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3.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3.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3.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3.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3.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3.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3.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3.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3.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3.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3.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3.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3.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3.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3.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3.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3.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3.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3.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3.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3.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3.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3.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3.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3.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3.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3.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3.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3.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3.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3.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3.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3.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3.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3.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3.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3.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3.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3.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3.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3.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3.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3.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3.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3.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3.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3.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3.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3.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3.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3.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3.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3.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3.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3.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3.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3.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3.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3.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3.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3.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3.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3.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3.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3.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3.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3.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3.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3.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3.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3.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3.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3.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3.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3.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3.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3.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3.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3.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3.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3.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3.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3.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3.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3.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3.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3.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3.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3.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3.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3.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3.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3.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3.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3.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3.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3.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3.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3.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3.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3.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3.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3.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3.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3.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3.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3.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3.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3.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3.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3.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3.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3.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3.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3.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3.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3.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3.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3.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3.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3.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3.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3.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3.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3.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3.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3.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3.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3.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3.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3.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3.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3.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3.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3.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3.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3.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3.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3.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3.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3.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3.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3.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3.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3.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3.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3.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3.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3.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3.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3.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3.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3.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3.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3.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3.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3.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3.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3.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3.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3.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3.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3.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3.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3.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3.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3.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3.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3.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3.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3.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3.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3.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3.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3.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3.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3.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3.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3.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3.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3.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3.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3.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3.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3.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3.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3.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3.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3.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3.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3.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3.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3.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3.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3.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3.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3.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3.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3.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3.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3.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3.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3.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3.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3.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3.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3.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3.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3.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3.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3.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3.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3.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3.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3.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3.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3.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3.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3.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3.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3.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3.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3.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3.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3.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3.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3.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3.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3.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3.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3.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3.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3.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3.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3.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3.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3.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3.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3.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3.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3.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3.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3.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3.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3.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3.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3.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3.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3.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3.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3.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3.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3.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3.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3.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3.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3.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3.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3.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3.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3.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3.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3.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3.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3.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3.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3.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3.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3.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3.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3.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3.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3.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3.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3.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3.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3.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3.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3.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3.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3.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3.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3.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3.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3.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3.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3.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3.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3.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3.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3.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3.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3.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3.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3.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3.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3.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3.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3.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3.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3.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3.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3.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3.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3.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3.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3.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3.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3.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3.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3.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3.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3.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3.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3.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3.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3.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3.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3.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3.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3.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3.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3.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3.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3.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3.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3.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3.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3.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3.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3.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3.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3.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3.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3.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3.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3.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3.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3.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3.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3.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3.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3.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3.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3.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3.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3.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3.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3.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3.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3.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3.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3.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3.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3.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3.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3.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3.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3.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3.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3.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3.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3.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3.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3.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3.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3.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3.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3.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3.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3.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3.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3.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3.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3.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3.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3.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3.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3.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3.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3.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3.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3.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3.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3.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3.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3.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3.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3.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3.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3.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3.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3.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3.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3.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3.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3.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3.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3.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3.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3.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3.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3.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3.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3.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3.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3.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3.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3.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3.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3.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3.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3.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3.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3.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3.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3.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3.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3.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3.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3.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3.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3.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3.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3.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3.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3.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3.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3.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3.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3.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3.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3.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3.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3.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3.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3.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3.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3.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3.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3.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3.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3.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3.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3.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3.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3.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3.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3.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3.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3.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3.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3.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3.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3.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3.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3.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3.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3.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3.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3.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3.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3.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3.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3.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3.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3.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3.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3.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3.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3.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3.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3.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3.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3.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3.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3.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3.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3.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3.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3.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3.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3.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3.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3.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3.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3.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3.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3.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3.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3.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3.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3.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3.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3.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3.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3.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3.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3.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3.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3.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3.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3.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3.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3.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3.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3.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3.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3.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3.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3.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3.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3.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3.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3.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3.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3.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3.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3.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3.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3.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3.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3.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3.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3.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3.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3.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3.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3.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3.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3.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3.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3.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3.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3.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3.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3.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3.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3.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3.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3.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3.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3.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3.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3.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3.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3.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3.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3.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3.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3.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3.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3.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3.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3.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3.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3.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3.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3.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3.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3.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3.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3.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3.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3.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3.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3.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3.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3.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3.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3.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3.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3.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3.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3.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3.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x14ac:dyDescent="0.2"/>
  <cols>
    <col min="1" max="1" width="45.5" customWidth="1"/>
    <col min="2" max="2" width="10.125" customWidth="1"/>
    <col min="3" max="3" width="10.25" customWidth="1"/>
    <col min="4" max="4" width="10.5" customWidth="1"/>
    <col min="5" max="5" width="10.25" customWidth="1"/>
    <col min="6" max="6" width="10.5" customWidth="1"/>
    <col min="7" max="7" width="10.25" customWidth="1"/>
    <col min="8" max="8" width="10.125" customWidth="1"/>
    <col min="9" max="9" width="10.75" customWidth="1"/>
    <col min="10" max="10" width="10.125" customWidth="1"/>
    <col min="11" max="26" width="9.375" customWidth="1"/>
  </cols>
  <sheetData>
    <row r="1" spans="1:26" ht="13.5" customHeight="1" x14ac:dyDescent="0.25">
      <c r="A1" s="7" t="s">
        <v>835</v>
      </c>
      <c r="B1" s="12"/>
      <c r="C1" s="12"/>
      <c r="D1" s="12"/>
      <c r="E1" s="12"/>
      <c r="F1" s="12"/>
      <c r="G1" s="12"/>
      <c r="H1" s="12"/>
      <c r="I1" s="12"/>
      <c r="J1" s="12"/>
      <c r="K1" s="12"/>
      <c r="L1" s="12"/>
      <c r="M1" s="12"/>
      <c r="N1" s="12"/>
      <c r="O1" s="12"/>
      <c r="P1" s="12"/>
      <c r="Q1" s="12"/>
      <c r="R1" s="12"/>
      <c r="S1" s="12"/>
      <c r="T1" s="12"/>
      <c r="U1" s="12"/>
      <c r="V1" s="12"/>
      <c r="W1" s="12"/>
      <c r="X1" s="12"/>
      <c r="Y1" s="12"/>
      <c r="Z1" s="12"/>
    </row>
    <row r="2" spans="1:26" ht="13.5" customHeight="1" x14ac:dyDescent="0.25">
      <c r="A2" s="31" t="s">
        <v>15</v>
      </c>
      <c r="B2" s="32">
        <v>1</v>
      </c>
      <c r="C2" s="32">
        <v>2</v>
      </c>
      <c r="D2" s="32">
        <v>3</v>
      </c>
      <c r="E2" s="32">
        <v>4</v>
      </c>
      <c r="F2" s="32">
        <v>5</v>
      </c>
      <c r="G2" s="32">
        <v>6</v>
      </c>
      <c r="H2" s="12"/>
      <c r="I2" s="12"/>
      <c r="J2" s="12"/>
      <c r="K2" s="12"/>
      <c r="L2" s="12"/>
      <c r="M2" s="12"/>
      <c r="N2" s="12"/>
      <c r="O2" s="12"/>
      <c r="P2" s="12"/>
      <c r="Q2" s="12"/>
      <c r="R2" s="12"/>
      <c r="S2" s="12"/>
      <c r="T2" s="12"/>
      <c r="U2" s="12"/>
      <c r="V2" s="12"/>
      <c r="W2" s="12"/>
      <c r="X2" s="12"/>
      <c r="Y2" s="12"/>
      <c r="Z2" s="12"/>
    </row>
    <row r="3" spans="1:26" ht="13.5" customHeight="1" x14ac:dyDescent="0.25">
      <c r="A3" s="33" t="s">
        <v>35</v>
      </c>
      <c r="B3" s="34">
        <v>66600000000</v>
      </c>
      <c r="C3" s="34">
        <v>55400000000</v>
      </c>
      <c r="D3" s="34">
        <v>73900000000</v>
      </c>
      <c r="E3" s="34">
        <v>69000000000</v>
      </c>
      <c r="F3" s="34">
        <v>72900000000</v>
      </c>
      <c r="G3" s="34">
        <v>56900000000</v>
      </c>
      <c r="H3" s="12"/>
      <c r="I3" s="12" t="s">
        <v>565</v>
      </c>
      <c r="J3" s="12"/>
      <c r="K3" s="12"/>
      <c r="L3" s="12"/>
      <c r="M3" s="12"/>
      <c r="N3" s="12"/>
      <c r="O3" s="12"/>
      <c r="P3" s="12"/>
      <c r="Q3" s="12"/>
      <c r="R3" s="12"/>
      <c r="S3" s="12"/>
      <c r="T3" s="12"/>
      <c r="U3" s="12"/>
      <c r="V3" s="12"/>
      <c r="W3" s="12"/>
      <c r="X3" s="12"/>
      <c r="Y3" s="12"/>
      <c r="Z3" s="12"/>
    </row>
    <row r="4" spans="1:26" ht="13.5" customHeight="1" x14ac:dyDescent="0.25">
      <c r="A4" s="35" t="s">
        <v>58</v>
      </c>
      <c r="B4" s="36">
        <v>52300000000</v>
      </c>
      <c r="C4" s="36">
        <v>65200000000</v>
      </c>
      <c r="D4" s="36">
        <v>75200000000</v>
      </c>
      <c r="E4" s="36">
        <v>62800000000</v>
      </c>
      <c r="F4" s="36">
        <v>64700000000</v>
      </c>
      <c r="G4" s="36">
        <v>79700000000</v>
      </c>
      <c r="H4" s="12"/>
      <c r="I4" s="12"/>
      <c r="J4" s="12"/>
      <c r="K4" s="12"/>
      <c r="L4" s="12"/>
      <c r="M4" s="12"/>
      <c r="N4" s="12"/>
      <c r="O4" s="12"/>
      <c r="P4" s="12"/>
      <c r="Q4" s="12"/>
      <c r="R4" s="12"/>
      <c r="S4" s="12"/>
      <c r="T4" s="12"/>
      <c r="U4" s="12"/>
      <c r="V4" s="12"/>
      <c r="W4" s="12"/>
      <c r="X4" s="12"/>
      <c r="Y4" s="12"/>
      <c r="Z4" s="12"/>
    </row>
    <row r="5" spans="1:26" ht="13.5" customHeight="1" x14ac:dyDescent="0.25">
      <c r="A5" s="35" t="s">
        <v>43</v>
      </c>
      <c r="B5" s="36">
        <v>36300000000</v>
      </c>
      <c r="C5" s="36">
        <v>33200000000</v>
      </c>
      <c r="D5" s="36">
        <v>51200000000</v>
      </c>
      <c r="E5" s="36">
        <v>31100000000</v>
      </c>
      <c r="F5" s="36">
        <v>41800000000</v>
      </c>
      <c r="G5" s="36">
        <v>36100000000</v>
      </c>
      <c r="H5" s="12"/>
      <c r="I5" s="12"/>
      <c r="J5" s="12"/>
      <c r="K5" s="12"/>
      <c r="L5" s="12"/>
      <c r="M5" s="12"/>
      <c r="N5" s="12"/>
      <c r="O5" s="12"/>
      <c r="P5" s="12"/>
      <c r="Q5" s="12"/>
      <c r="R5" s="12"/>
      <c r="S5" s="12"/>
      <c r="T5" s="12"/>
      <c r="U5" s="12"/>
      <c r="V5" s="12"/>
      <c r="W5" s="12"/>
      <c r="X5" s="12"/>
      <c r="Y5" s="12"/>
      <c r="Z5" s="12"/>
    </row>
    <row r="6" spans="1:26" ht="13.5" customHeight="1" x14ac:dyDescent="0.25">
      <c r="A6" s="35" t="s">
        <v>46</v>
      </c>
      <c r="B6" s="36">
        <v>25200000000</v>
      </c>
      <c r="C6" s="36">
        <v>15900000000</v>
      </c>
      <c r="D6" s="36">
        <v>17000000000</v>
      </c>
      <c r="E6" s="36">
        <v>28200000000</v>
      </c>
      <c r="F6" s="36">
        <v>22300000000</v>
      </c>
      <c r="G6" s="36">
        <v>31300000000</v>
      </c>
      <c r="H6" s="12"/>
      <c r="I6" s="12"/>
      <c r="J6" s="12"/>
      <c r="K6" s="12"/>
      <c r="L6" s="12"/>
      <c r="M6" s="12"/>
      <c r="N6" s="12"/>
      <c r="O6" s="12"/>
      <c r="P6" s="12"/>
      <c r="Q6" s="12"/>
      <c r="R6" s="12"/>
      <c r="S6" s="12"/>
      <c r="T6" s="12"/>
      <c r="U6" s="12"/>
      <c r="V6" s="12"/>
      <c r="W6" s="12"/>
      <c r="X6" s="12"/>
      <c r="Y6" s="12"/>
      <c r="Z6" s="12"/>
    </row>
    <row r="7" spans="1:26" ht="13.5" customHeight="1" x14ac:dyDescent="0.25">
      <c r="A7" s="35" t="s">
        <v>52</v>
      </c>
      <c r="B7" s="36">
        <v>21100000000</v>
      </c>
      <c r="C7" s="36">
        <v>37500000000</v>
      </c>
      <c r="D7" s="36">
        <v>37500000000</v>
      </c>
      <c r="E7" s="36">
        <v>20800000000</v>
      </c>
      <c r="F7" s="36">
        <v>25200000000</v>
      </c>
      <c r="G7" s="36">
        <v>28100000000</v>
      </c>
      <c r="H7" s="12"/>
      <c r="I7" s="12"/>
      <c r="J7" s="12"/>
      <c r="K7" s="12"/>
      <c r="L7" s="12"/>
      <c r="M7" s="12"/>
      <c r="N7" s="12"/>
      <c r="O7" s="12"/>
      <c r="P7" s="12"/>
      <c r="Q7" s="12"/>
      <c r="R7" s="12"/>
      <c r="S7" s="12"/>
      <c r="T7" s="12"/>
      <c r="U7" s="12"/>
      <c r="V7" s="12"/>
      <c r="W7" s="12"/>
      <c r="X7" s="12"/>
      <c r="Y7" s="12"/>
      <c r="Z7" s="12"/>
    </row>
    <row r="8" spans="1:26" ht="13.5" customHeight="1" x14ac:dyDescent="0.25">
      <c r="A8" s="35" t="s">
        <v>34</v>
      </c>
      <c r="B8" s="36">
        <v>14400000000</v>
      </c>
      <c r="C8" s="36">
        <v>13000000000</v>
      </c>
      <c r="D8" s="36">
        <v>17400000000</v>
      </c>
      <c r="E8" s="36">
        <v>19300000000</v>
      </c>
      <c r="F8" s="36">
        <v>23200000000</v>
      </c>
      <c r="G8" s="36">
        <v>14600000000</v>
      </c>
      <c r="H8" s="12"/>
      <c r="I8" s="12"/>
      <c r="J8" s="12"/>
      <c r="K8" s="12"/>
      <c r="L8" s="12"/>
      <c r="M8" s="12"/>
      <c r="N8" s="12"/>
      <c r="O8" s="12"/>
      <c r="P8" s="12"/>
      <c r="Q8" s="12"/>
      <c r="R8" s="12"/>
      <c r="S8" s="12"/>
      <c r="T8" s="12"/>
      <c r="U8" s="12"/>
      <c r="V8" s="12"/>
      <c r="W8" s="12"/>
      <c r="X8" s="12"/>
      <c r="Y8" s="12"/>
      <c r="Z8" s="12"/>
    </row>
    <row r="9" spans="1:26" ht="13.5" customHeight="1" x14ac:dyDescent="0.25">
      <c r="A9" s="35" t="s">
        <v>49</v>
      </c>
      <c r="B9" s="36">
        <v>12500000000</v>
      </c>
      <c r="C9" s="36">
        <v>12800000000</v>
      </c>
      <c r="D9" s="36">
        <v>14800000000</v>
      </c>
      <c r="E9" s="36">
        <v>12500000000</v>
      </c>
      <c r="F9" s="36">
        <v>14400000000</v>
      </c>
      <c r="G9" s="36">
        <v>17700000000</v>
      </c>
      <c r="H9" s="12"/>
      <c r="I9" s="12"/>
      <c r="J9" s="12"/>
      <c r="K9" s="12"/>
      <c r="L9" s="12"/>
      <c r="M9" s="12"/>
      <c r="N9" s="12"/>
      <c r="O9" s="12"/>
      <c r="P9" s="12"/>
      <c r="Q9" s="12"/>
      <c r="R9" s="12"/>
      <c r="S9" s="12"/>
      <c r="T9" s="12"/>
      <c r="U9" s="12"/>
      <c r="V9" s="12"/>
      <c r="W9" s="12"/>
      <c r="X9" s="12"/>
      <c r="Y9" s="12"/>
      <c r="Z9" s="12"/>
    </row>
    <row r="10" spans="1:26" ht="13.5" customHeight="1" x14ac:dyDescent="0.25">
      <c r="A10" s="35" t="s">
        <v>38</v>
      </c>
      <c r="B10" s="36">
        <v>11200000000</v>
      </c>
      <c r="C10" s="36">
        <v>8470000000</v>
      </c>
      <c r="D10" s="36">
        <v>25800000000</v>
      </c>
      <c r="E10" s="36">
        <v>10000000000</v>
      </c>
      <c r="F10" s="36">
        <v>9930000000</v>
      </c>
      <c r="G10" s="36">
        <v>7730000000</v>
      </c>
      <c r="H10" s="12"/>
      <c r="I10" s="12"/>
      <c r="J10" s="12"/>
      <c r="K10" s="12"/>
      <c r="L10" s="12"/>
      <c r="M10" s="12"/>
      <c r="N10" s="12"/>
      <c r="O10" s="12"/>
      <c r="P10" s="12"/>
      <c r="Q10" s="12"/>
      <c r="R10" s="12"/>
      <c r="S10" s="12"/>
      <c r="T10" s="12"/>
      <c r="U10" s="12"/>
      <c r="V10" s="12"/>
      <c r="W10" s="12"/>
      <c r="X10" s="12"/>
      <c r="Y10" s="12"/>
      <c r="Z10" s="12"/>
    </row>
    <row r="11" spans="1:26" ht="13.5" customHeight="1" x14ac:dyDescent="0.25">
      <c r="A11" s="35" t="s">
        <v>47</v>
      </c>
      <c r="B11" s="36">
        <v>9450000000</v>
      </c>
      <c r="C11" s="36">
        <v>8430000000</v>
      </c>
      <c r="D11" s="36">
        <v>17700000000</v>
      </c>
      <c r="E11" s="36">
        <v>13900000000</v>
      </c>
      <c r="F11" s="36">
        <v>5280000000</v>
      </c>
      <c r="G11" s="36">
        <v>5990000000</v>
      </c>
      <c r="H11" s="12"/>
      <c r="I11" s="12"/>
      <c r="J11" s="12"/>
      <c r="K11" s="12"/>
      <c r="L11" s="12"/>
      <c r="M11" s="12"/>
      <c r="N11" s="12"/>
      <c r="O11" s="12"/>
      <c r="P11" s="12"/>
      <c r="Q11" s="12"/>
      <c r="R11" s="12"/>
      <c r="S11" s="12"/>
      <c r="T11" s="12"/>
      <c r="U11" s="12"/>
      <c r="V11" s="12"/>
      <c r="W11" s="12"/>
      <c r="X11" s="12"/>
      <c r="Y11" s="12"/>
      <c r="Z11" s="12"/>
    </row>
    <row r="12" spans="1:26" ht="13.5" customHeight="1" x14ac:dyDescent="0.25">
      <c r="A12" s="35" t="s">
        <v>37</v>
      </c>
      <c r="B12" s="37">
        <v>6200000000</v>
      </c>
      <c r="C12" s="37">
        <v>3870000000</v>
      </c>
      <c r="D12" s="37">
        <v>7700000000</v>
      </c>
      <c r="E12" s="37">
        <v>8800000000</v>
      </c>
      <c r="F12" s="38">
        <v>15900000000</v>
      </c>
      <c r="G12" s="37">
        <v>1820000000</v>
      </c>
      <c r="H12" s="12"/>
      <c r="I12" s="12"/>
      <c r="J12" s="12"/>
      <c r="K12" s="12"/>
      <c r="L12" s="12"/>
      <c r="M12" s="12"/>
      <c r="N12" s="12"/>
      <c r="O12" s="12"/>
      <c r="P12" s="12"/>
      <c r="Q12" s="12"/>
      <c r="R12" s="12"/>
      <c r="S12" s="12"/>
      <c r="T12" s="12"/>
      <c r="U12" s="12"/>
      <c r="V12" s="12"/>
      <c r="W12" s="12"/>
      <c r="X12" s="12"/>
      <c r="Y12" s="12"/>
      <c r="Z12" s="12"/>
    </row>
    <row r="13" spans="1:26" ht="13.5" customHeight="1" x14ac:dyDescent="0.25">
      <c r="A13" s="35" t="s">
        <v>57</v>
      </c>
      <c r="B13" s="36">
        <v>5260000000</v>
      </c>
      <c r="C13" s="36">
        <v>6220000000</v>
      </c>
      <c r="D13" s="36">
        <v>7960000000</v>
      </c>
      <c r="E13" s="36">
        <v>6290000000</v>
      </c>
      <c r="F13" s="36">
        <v>8460000000</v>
      </c>
      <c r="G13" s="36">
        <v>5640000000</v>
      </c>
      <c r="H13" s="12"/>
      <c r="I13" s="12"/>
      <c r="J13" s="12"/>
      <c r="K13" s="12"/>
      <c r="L13" s="12"/>
      <c r="M13" s="12"/>
      <c r="N13" s="12"/>
      <c r="O13" s="12"/>
      <c r="P13" s="12"/>
      <c r="Q13" s="12"/>
      <c r="R13" s="12"/>
      <c r="S13" s="12"/>
      <c r="T13" s="12"/>
      <c r="U13" s="12"/>
      <c r="V13" s="12"/>
      <c r="W13" s="12"/>
      <c r="X13" s="12"/>
      <c r="Y13" s="12"/>
      <c r="Z13" s="12"/>
    </row>
    <row r="14" spans="1:26" ht="13.5" customHeight="1" x14ac:dyDescent="0.25">
      <c r="A14" s="35" t="s">
        <v>40</v>
      </c>
      <c r="B14" s="37">
        <v>4630000000</v>
      </c>
      <c r="C14" s="37">
        <v>4570000000</v>
      </c>
      <c r="D14" s="39">
        <v>20200000000</v>
      </c>
      <c r="E14" s="37">
        <v>8110000000</v>
      </c>
      <c r="F14" s="37">
        <v>5220000000</v>
      </c>
      <c r="G14" s="37">
        <v>3990000000</v>
      </c>
      <c r="H14" s="12"/>
      <c r="I14" s="12"/>
      <c r="J14" s="12"/>
      <c r="K14" s="12"/>
      <c r="L14" s="12"/>
      <c r="M14" s="12"/>
      <c r="N14" s="12"/>
      <c r="O14" s="12"/>
      <c r="P14" s="12"/>
      <c r="Q14" s="12"/>
      <c r="R14" s="12"/>
      <c r="S14" s="12"/>
      <c r="T14" s="12"/>
      <c r="U14" s="12"/>
      <c r="V14" s="12"/>
      <c r="W14" s="12"/>
      <c r="X14" s="12"/>
      <c r="Y14" s="12"/>
      <c r="Z14" s="12"/>
    </row>
    <row r="15" spans="1:26" ht="13.5" customHeight="1" x14ac:dyDescent="0.25">
      <c r="A15" s="35" t="s">
        <v>42</v>
      </c>
      <c r="B15" s="36">
        <v>4310000000</v>
      </c>
      <c r="C15" s="36">
        <v>3260000000</v>
      </c>
      <c r="D15" s="36">
        <v>4570000000</v>
      </c>
      <c r="E15" s="36">
        <v>2720000000</v>
      </c>
      <c r="F15" s="36">
        <v>5580000000</v>
      </c>
      <c r="G15" s="36">
        <v>3830000000</v>
      </c>
      <c r="H15" s="12"/>
      <c r="I15" s="12" t="s">
        <v>566</v>
      </c>
      <c r="J15" s="12"/>
      <c r="K15" s="12"/>
      <c r="L15" s="12"/>
      <c r="M15" s="12"/>
      <c r="N15" s="12"/>
      <c r="O15" s="12"/>
      <c r="P15" s="12"/>
      <c r="Q15" s="12"/>
      <c r="R15" s="12"/>
      <c r="S15" s="12"/>
      <c r="T15" s="12"/>
      <c r="U15" s="12"/>
      <c r="V15" s="12"/>
      <c r="W15" s="12"/>
      <c r="X15" s="12"/>
      <c r="Y15" s="12"/>
      <c r="Z15" s="12"/>
    </row>
    <row r="16" spans="1:26" ht="13.5" customHeight="1" x14ac:dyDescent="0.25">
      <c r="A16" s="35" t="s">
        <v>48</v>
      </c>
      <c r="B16" s="36">
        <v>4170000000</v>
      </c>
      <c r="C16" s="36">
        <v>3710000000</v>
      </c>
      <c r="D16" s="36">
        <v>5890000000</v>
      </c>
      <c r="E16" s="36">
        <v>5640000000</v>
      </c>
      <c r="F16" s="36">
        <v>3310000000</v>
      </c>
      <c r="G16" s="36">
        <v>2880000000</v>
      </c>
      <c r="H16" s="12"/>
      <c r="I16" s="12"/>
      <c r="J16" s="12"/>
      <c r="K16" s="12"/>
      <c r="L16" s="12"/>
      <c r="M16" s="12"/>
      <c r="N16" s="12"/>
      <c r="O16" s="12"/>
      <c r="P16" s="12"/>
      <c r="Q16" s="12"/>
      <c r="R16" s="12"/>
      <c r="S16" s="12"/>
      <c r="T16" s="12"/>
      <c r="U16" s="12"/>
      <c r="V16" s="12"/>
      <c r="W16" s="12"/>
      <c r="X16" s="12"/>
      <c r="Y16" s="12"/>
      <c r="Z16" s="12"/>
    </row>
    <row r="17" spans="1:26" ht="13.5" customHeight="1" x14ac:dyDescent="0.25">
      <c r="A17" s="35" t="s">
        <v>44</v>
      </c>
      <c r="B17" s="36">
        <v>3010000000</v>
      </c>
      <c r="C17" s="36">
        <v>1130000000</v>
      </c>
      <c r="D17" s="36">
        <v>895000000</v>
      </c>
      <c r="E17" s="36">
        <v>2980000000</v>
      </c>
      <c r="F17" s="36">
        <v>1840000000</v>
      </c>
      <c r="G17" s="36">
        <v>1090000000</v>
      </c>
      <c r="H17" s="12"/>
      <c r="I17" s="12"/>
      <c r="J17" s="12"/>
      <c r="K17" s="12"/>
      <c r="L17" s="12"/>
      <c r="M17" s="12"/>
      <c r="N17" s="12"/>
      <c r="O17" s="12"/>
      <c r="P17" s="12"/>
      <c r="Q17" s="12"/>
      <c r="R17" s="12"/>
      <c r="S17" s="12"/>
      <c r="T17" s="12"/>
      <c r="U17" s="12"/>
      <c r="V17" s="12"/>
      <c r="W17" s="12"/>
      <c r="X17" s="12"/>
      <c r="Y17" s="12"/>
      <c r="Z17" s="12"/>
    </row>
    <row r="18" spans="1:26" ht="13.5" customHeight="1" x14ac:dyDescent="0.25">
      <c r="A18" s="35" t="s">
        <v>45</v>
      </c>
      <c r="B18" s="36">
        <v>3150000000</v>
      </c>
      <c r="C18" s="36">
        <v>13100000000</v>
      </c>
      <c r="D18" s="36">
        <v>6070000000</v>
      </c>
      <c r="E18" s="36">
        <v>7290000000</v>
      </c>
      <c r="F18" s="36">
        <v>2340000000</v>
      </c>
      <c r="G18" s="36">
        <v>5800000000</v>
      </c>
      <c r="H18" s="12"/>
      <c r="I18" s="12"/>
      <c r="J18" s="12"/>
      <c r="K18" s="12"/>
      <c r="L18" s="12"/>
      <c r="M18" s="12"/>
      <c r="N18" s="12"/>
      <c r="O18" s="12"/>
      <c r="P18" s="12"/>
      <c r="Q18" s="12"/>
      <c r="R18" s="12"/>
      <c r="S18" s="12"/>
      <c r="T18" s="12"/>
      <c r="U18" s="12"/>
      <c r="V18" s="12"/>
      <c r="W18" s="12"/>
      <c r="X18" s="12"/>
      <c r="Y18" s="12"/>
      <c r="Z18" s="12"/>
    </row>
    <row r="19" spans="1:26" ht="13.5" customHeight="1" x14ac:dyDescent="0.25">
      <c r="A19" s="35" t="s">
        <v>36</v>
      </c>
      <c r="B19" s="36">
        <v>3240000000</v>
      </c>
      <c r="C19" s="36">
        <v>5780000000</v>
      </c>
      <c r="D19" s="36">
        <v>19300000000</v>
      </c>
      <c r="E19" s="36">
        <v>18400000000</v>
      </c>
      <c r="F19" s="36">
        <v>4610000000</v>
      </c>
      <c r="G19" s="36">
        <v>12700000000</v>
      </c>
      <c r="H19" s="12"/>
      <c r="I19" s="12"/>
      <c r="J19" s="12"/>
      <c r="K19" s="12"/>
      <c r="L19" s="12"/>
      <c r="M19" s="12"/>
      <c r="N19" s="12"/>
      <c r="O19" s="12"/>
      <c r="P19" s="12"/>
      <c r="Q19" s="12"/>
      <c r="R19" s="12"/>
      <c r="S19" s="12"/>
      <c r="T19" s="12"/>
      <c r="U19" s="12"/>
      <c r="V19" s="12"/>
      <c r="W19" s="12"/>
      <c r="X19" s="12"/>
      <c r="Y19" s="12"/>
      <c r="Z19" s="12"/>
    </row>
    <row r="20" spans="1:26" ht="13.5" customHeight="1" x14ac:dyDescent="0.25">
      <c r="A20" s="35" t="s">
        <v>56</v>
      </c>
      <c r="B20" s="36">
        <v>2010000000</v>
      </c>
      <c r="C20" s="36">
        <v>1290000000</v>
      </c>
      <c r="D20" s="36">
        <v>954000000</v>
      </c>
      <c r="E20" s="36">
        <v>1130000000</v>
      </c>
      <c r="F20" s="36">
        <v>2690000000</v>
      </c>
      <c r="G20" s="36">
        <v>1310000000</v>
      </c>
      <c r="H20" s="12"/>
      <c r="I20" s="12"/>
      <c r="J20" s="12"/>
      <c r="K20" s="12"/>
      <c r="L20" s="12"/>
      <c r="M20" s="12"/>
      <c r="N20" s="12"/>
      <c r="O20" s="12"/>
      <c r="P20" s="12"/>
      <c r="Q20" s="12"/>
      <c r="R20" s="12"/>
      <c r="S20" s="12"/>
      <c r="T20" s="12"/>
      <c r="U20" s="12"/>
      <c r="V20" s="12"/>
      <c r="W20" s="12"/>
      <c r="X20" s="12"/>
      <c r="Y20" s="12"/>
      <c r="Z20" s="12"/>
    </row>
    <row r="21" spans="1:26" ht="13.5" customHeight="1" x14ac:dyDescent="0.25">
      <c r="A21" s="35" t="s">
        <v>51</v>
      </c>
      <c r="B21" s="36">
        <v>2170000000</v>
      </c>
      <c r="C21" s="36">
        <v>4260000000</v>
      </c>
      <c r="D21" s="36">
        <v>8130000000</v>
      </c>
      <c r="E21" s="36">
        <v>4020000000</v>
      </c>
      <c r="F21" s="36">
        <v>4030000000</v>
      </c>
      <c r="G21" s="36">
        <v>4050000000</v>
      </c>
      <c r="H21" s="12"/>
      <c r="I21" s="12"/>
      <c r="J21" s="12"/>
      <c r="K21" s="12"/>
      <c r="L21" s="12"/>
      <c r="M21" s="12"/>
      <c r="N21" s="12"/>
      <c r="O21" s="12"/>
      <c r="P21" s="12"/>
      <c r="Q21" s="12"/>
      <c r="R21" s="12"/>
      <c r="S21" s="12"/>
      <c r="T21" s="12"/>
      <c r="U21" s="12"/>
      <c r="V21" s="12"/>
      <c r="W21" s="12"/>
      <c r="X21" s="12"/>
      <c r="Y21" s="12"/>
      <c r="Z21" s="12"/>
    </row>
    <row r="22" spans="1:26" ht="13.5" customHeight="1" x14ac:dyDescent="0.25">
      <c r="A22" s="35" t="s">
        <v>53</v>
      </c>
      <c r="B22" s="36">
        <v>1140000000</v>
      </c>
      <c r="C22" s="36">
        <v>1000000000</v>
      </c>
      <c r="D22" s="36">
        <v>2060000000</v>
      </c>
      <c r="E22" s="36">
        <v>1410000000</v>
      </c>
      <c r="F22" s="36">
        <v>1410000000</v>
      </c>
      <c r="G22" s="36">
        <v>1930000000</v>
      </c>
      <c r="H22" s="12"/>
      <c r="I22" s="12"/>
      <c r="J22" s="12"/>
      <c r="K22" s="12"/>
      <c r="L22" s="12"/>
      <c r="M22" s="12"/>
      <c r="N22" s="12"/>
      <c r="O22" s="12"/>
      <c r="P22" s="12"/>
      <c r="Q22" s="12"/>
      <c r="R22" s="12"/>
      <c r="S22" s="12"/>
      <c r="T22" s="12"/>
      <c r="U22" s="12"/>
      <c r="V22" s="12"/>
      <c r="W22" s="12"/>
      <c r="X22" s="12"/>
      <c r="Y22" s="12"/>
      <c r="Z22" s="12"/>
    </row>
    <row r="23" spans="1:26" ht="13.5" customHeight="1" x14ac:dyDescent="0.25">
      <c r="A23" s="35" t="s">
        <v>55</v>
      </c>
      <c r="B23" s="36">
        <v>702000000</v>
      </c>
      <c r="C23" s="36">
        <v>901000000</v>
      </c>
      <c r="D23" s="36">
        <v>1360000000</v>
      </c>
      <c r="E23" s="36">
        <v>1500000000</v>
      </c>
      <c r="F23" s="36">
        <v>964000000</v>
      </c>
      <c r="G23" s="36">
        <v>1540000000</v>
      </c>
      <c r="H23" s="12"/>
      <c r="I23" s="12"/>
      <c r="J23" s="12"/>
      <c r="K23" s="12"/>
      <c r="L23" s="12"/>
      <c r="M23" s="12"/>
      <c r="N23" s="12"/>
      <c r="O23" s="12"/>
      <c r="P23" s="12"/>
      <c r="Q23" s="12"/>
      <c r="R23" s="12"/>
      <c r="S23" s="12"/>
      <c r="T23" s="12"/>
      <c r="U23" s="12"/>
      <c r="V23" s="12"/>
      <c r="W23" s="12"/>
      <c r="X23" s="12"/>
      <c r="Y23" s="12"/>
      <c r="Z23" s="12"/>
    </row>
    <row r="24" spans="1:26" ht="13.5" customHeight="1" x14ac:dyDescent="0.25">
      <c r="A24" s="35" t="s">
        <v>41</v>
      </c>
      <c r="B24" s="36">
        <v>187000000</v>
      </c>
      <c r="C24" s="36">
        <v>31300000</v>
      </c>
      <c r="D24" s="36">
        <v>28100000</v>
      </c>
      <c r="E24" s="36">
        <v>79500000</v>
      </c>
      <c r="F24" s="36">
        <v>2750400</v>
      </c>
      <c r="G24" s="36">
        <v>46300000</v>
      </c>
      <c r="H24" s="12"/>
      <c r="I24" s="12"/>
      <c r="J24" s="12"/>
      <c r="K24" s="12"/>
      <c r="L24" s="12"/>
      <c r="M24" s="12"/>
      <c r="N24" s="12"/>
      <c r="O24" s="12"/>
      <c r="P24" s="12"/>
      <c r="Q24" s="12"/>
      <c r="R24" s="12"/>
      <c r="S24" s="12"/>
      <c r="T24" s="12"/>
      <c r="U24" s="12"/>
      <c r="V24" s="12"/>
      <c r="W24" s="12"/>
      <c r="X24" s="12"/>
      <c r="Y24" s="12"/>
      <c r="Z24" s="12"/>
    </row>
    <row r="25" spans="1:26" ht="13.5" customHeight="1" x14ac:dyDescent="0.25">
      <c r="A25" s="35" t="s">
        <v>50</v>
      </c>
      <c r="B25" s="36">
        <v>17729000</v>
      </c>
      <c r="C25" s="36">
        <v>1458100</v>
      </c>
      <c r="D25" s="36">
        <v>69300000</v>
      </c>
      <c r="E25" s="36">
        <v>943000000</v>
      </c>
      <c r="F25" s="36">
        <v>18400000</v>
      </c>
      <c r="G25" s="36">
        <v>461000000</v>
      </c>
      <c r="H25" s="12"/>
      <c r="I25" s="12"/>
      <c r="J25" s="12"/>
      <c r="K25" s="12"/>
      <c r="L25" s="12"/>
      <c r="M25" s="12"/>
      <c r="N25" s="12"/>
      <c r="O25" s="12"/>
      <c r="P25" s="12"/>
      <c r="Q25" s="12"/>
      <c r="R25" s="12"/>
      <c r="S25" s="12"/>
      <c r="T25" s="12"/>
      <c r="U25" s="12"/>
      <c r="V25" s="12"/>
      <c r="W25" s="12"/>
      <c r="X25" s="12"/>
      <c r="Y25" s="12"/>
      <c r="Z25" s="12"/>
    </row>
    <row r="26" spans="1:26" ht="13.5" customHeight="1" x14ac:dyDescent="0.25">
      <c r="A26" s="35" t="s">
        <v>54</v>
      </c>
      <c r="B26" s="36">
        <v>2937700</v>
      </c>
      <c r="C26" s="36">
        <v>0</v>
      </c>
      <c r="D26" s="36">
        <v>789380000</v>
      </c>
      <c r="E26" s="36">
        <v>0</v>
      </c>
      <c r="F26" s="36">
        <v>0</v>
      </c>
      <c r="G26" s="36">
        <v>0</v>
      </c>
      <c r="H26" s="12"/>
      <c r="I26" s="12"/>
      <c r="J26" s="12"/>
      <c r="K26" s="12"/>
      <c r="L26" s="12"/>
      <c r="M26" s="12"/>
      <c r="N26" s="12"/>
      <c r="O26" s="12"/>
      <c r="P26" s="12"/>
      <c r="Q26" s="12"/>
      <c r="R26" s="12"/>
      <c r="S26" s="12"/>
      <c r="T26" s="12"/>
      <c r="U26" s="12"/>
      <c r="V26" s="12"/>
      <c r="W26" s="12"/>
      <c r="X26" s="12"/>
      <c r="Y26" s="12"/>
      <c r="Z26" s="12"/>
    </row>
    <row r="27" spans="1:26" ht="13.5" customHeight="1" x14ac:dyDescent="0.25">
      <c r="A27" s="35" t="s">
        <v>59</v>
      </c>
      <c r="B27" s="36">
        <v>91750333300</v>
      </c>
      <c r="C27" s="36">
        <v>48976241900</v>
      </c>
      <c r="D27" s="36">
        <v>70524220000</v>
      </c>
      <c r="E27" s="36">
        <v>50087500000</v>
      </c>
      <c r="F27" s="36">
        <v>79914849600</v>
      </c>
      <c r="G27" s="36">
        <v>42792700000</v>
      </c>
      <c r="H27" s="12"/>
      <c r="I27" s="12"/>
      <c r="J27" s="12"/>
      <c r="K27" s="12"/>
      <c r="L27" s="12"/>
      <c r="M27" s="12"/>
      <c r="N27" s="12"/>
      <c r="O27" s="12"/>
      <c r="P27" s="12"/>
      <c r="Q27" s="12"/>
      <c r="R27" s="12"/>
      <c r="S27" s="12"/>
      <c r="T27" s="12"/>
      <c r="U27" s="12"/>
      <c r="V27" s="12"/>
      <c r="W27" s="12"/>
      <c r="X27" s="12"/>
      <c r="Y27" s="12"/>
      <c r="Z27" s="12"/>
    </row>
    <row r="28" spans="1:26" ht="13.5" customHeight="1" x14ac:dyDescent="0.25">
      <c r="A28" s="40" t="s">
        <v>13</v>
      </c>
      <c r="B28" s="41">
        <v>381000000000</v>
      </c>
      <c r="C28" s="41">
        <v>348000000000</v>
      </c>
      <c r="D28" s="41">
        <v>487000000000</v>
      </c>
      <c r="E28" s="41">
        <v>387000000000</v>
      </c>
      <c r="F28" s="41">
        <v>416000000000</v>
      </c>
      <c r="G28" s="41">
        <v>368000000000</v>
      </c>
      <c r="H28" s="12"/>
      <c r="I28" s="12"/>
      <c r="J28" s="12"/>
      <c r="K28" s="12"/>
      <c r="L28" s="12"/>
      <c r="M28" s="12"/>
      <c r="N28" s="12"/>
      <c r="O28" s="12"/>
      <c r="P28" s="12"/>
      <c r="Q28" s="12"/>
      <c r="R28" s="12"/>
      <c r="S28" s="12"/>
      <c r="T28" s="12"/>
      <c r="U28" s="12"/>
      <c r="V28" s="12"/>
      <c r="W28" s="12"/>
      <c r="X28" s="12"/>
      <c r="Y28" s="12"/>
      <c r="Z28" s="12"/>
    </row>
    <row r="29" spans="1:26" ht="13.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3.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3.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3.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3.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3.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3.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3.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3.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3.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3.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3.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3.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3.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3.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3.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3.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3.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3.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3.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3.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3.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3.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3.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3.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3.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3.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3.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3.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3.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3.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3.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3.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3.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3.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3.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3.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3.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3.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3.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3.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3.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3.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3.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3.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3.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3.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3.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3.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3.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3.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3.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3.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3.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3.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3.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3.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3.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3.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3.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3.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3.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3.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3.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3.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3.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3.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3.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3.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3.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3.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3.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3.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3.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3.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3.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3.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3.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3.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3.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3.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3.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3.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3.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3.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3.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3.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3.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3.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3.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3.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3.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3.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3.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3.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3.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3.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3.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3.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3.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3.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3.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3.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3.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3.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3.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3.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3.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3.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3.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3.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3.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3.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3.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3.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3.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3.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3.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3.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3.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3.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3.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3.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3.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3.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3.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3.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3.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3.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3.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3.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3.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3.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3.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3.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3.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3.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3.5"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3.5"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3.5"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3.5"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3.5"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3.5"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3.5"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3.5"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3.5"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3.5"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3.5"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3.5"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3.5"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3.5"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3.5"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3.5"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3.5"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3.5"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3.5"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3.5"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3.5"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3.5"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3.5"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3.5"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3.5"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3.5"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3.5"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3.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3.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3.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3.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3.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3.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3.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3.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3.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3.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3.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3.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3.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3.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3.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3.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3.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3.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3.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3.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3.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3.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3.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3.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3.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3.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3.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3.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3.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3.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3.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3.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3.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3.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3.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3.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3.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3.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3.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3.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3.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3.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3.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3.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3.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3.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3.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3.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3.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3.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3.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3.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3.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3.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3.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3.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3.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3.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3.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3.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3.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3.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3.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3.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3.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3.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3.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3.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3.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3.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3.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3.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3.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3.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3.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3.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3.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3.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3.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3.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3.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3.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3.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3.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3.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3.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3.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3.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3.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3.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3.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3.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3.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3.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3.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3.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3.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3.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3.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3.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3.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3.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3.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3.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3.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3.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3.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3.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3.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3.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3.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3.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3.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3.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3.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3.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3.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3.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3.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3.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3.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3.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3.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3.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3.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3.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3.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3.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3.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3.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3.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3.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3.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3.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3.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3.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3.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3.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3.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3.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3.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3.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3.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3.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3.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3.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3.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3.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3.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3.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3.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3.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3.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3.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3.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3.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3.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3.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3.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3.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3.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3.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3.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3.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3.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3.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3.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3.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3.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3.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3.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3.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3.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3.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3.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3.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3.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3.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3.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3.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3.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3.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3.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3.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3.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3.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3.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3.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3.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3.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3.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3.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3.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3.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3.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3.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3.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3.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3.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3.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3.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3.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3.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3.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3.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3.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3.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3.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3.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3.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3.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3.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3.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3.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3.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3.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3.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3.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3.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3.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3.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3.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3.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3.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3.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3.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3.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3.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3.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3.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3.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3.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3.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3.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3.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3.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3.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3.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3.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3.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3.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3.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3.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3.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3.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3.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3.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3.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3.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3.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3.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3.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3.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3.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3.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3.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3.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3.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3.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3.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3.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3.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3.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3.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3.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3.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3.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3.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3.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3.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3.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3.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3.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3.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3.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3.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3.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3.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3.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3.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3.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3.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3.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3.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3.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3.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3.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3.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3.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3.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3.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3.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3.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3.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3.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3.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3.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3.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3.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3.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3.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3.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3.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3.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3.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3.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3.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3.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3.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3.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3.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3.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3.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3.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3.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3.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3.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3.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3.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3.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3.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3.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3.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3.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3.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3.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3.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3.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3.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3.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3.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3.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3.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3.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3.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3.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3.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3.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3.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3.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3.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3.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3.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3.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3.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3.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3.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3.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3.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3.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3.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3.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3.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3.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3.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3.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3.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3.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3.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3.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3.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3.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3.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3.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3.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3.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3.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3.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3.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3.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3.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3.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3.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3.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3.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3.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3.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3.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3.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3.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3.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3.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3.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3.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3.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3.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3.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3.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3.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3.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3.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3.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3.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3.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3.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3.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3.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3.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3.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3.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3.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3.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3.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3.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3.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3.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3.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3.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3.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3.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3.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3.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3.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3.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3.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3.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3.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3.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3.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3.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3.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3.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3.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3.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3.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3.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3.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3.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3.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3.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3.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3.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3.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3.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3.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3.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3.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3.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3.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3.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3.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3.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3.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3.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3.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3.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3.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3.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3.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3.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3.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3.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3.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3.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3.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3.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3.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3.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3.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3.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3.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3.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3.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3.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3.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3.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3.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3.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3.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3.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3.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3.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3.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3.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3.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3.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3.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3.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3.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3.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3.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3.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3.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3.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3.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3.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3.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3.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3.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3.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3.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3.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3.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3.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3.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3.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3.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3.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3.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3.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3.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3.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3.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3.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3.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3.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3.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3.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3.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3.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3.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3.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3.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3.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3.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3.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3.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3.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3.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3.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3.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3.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3.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3.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3.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3.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3.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3.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3.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3.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3.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3.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3.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3.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3.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3.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3.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3.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3.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3.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3.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3.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3.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3.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3.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3.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3.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3.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3.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3.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3.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3.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3.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3.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3.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3.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3.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3.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3.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3.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3.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3.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3.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3.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3.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3.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3.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3.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3.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3.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3.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3.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3.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3.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3.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3.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3.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3.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3.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3.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3.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3.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3.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3.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3.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3.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3.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3.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3.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3.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3.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3.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3.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3.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3.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3.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3.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3.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3.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3.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3.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3.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3.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3.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3.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3.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3.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3.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3.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3.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3.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3.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3.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3.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3.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3.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3.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3.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3.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3.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3.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3.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3.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3.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3.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3.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3.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3.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3.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3.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3.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3.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3.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3.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3.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3.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3.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3.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3.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3.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3.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3.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3.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3.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3.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3.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3.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3.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3.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3.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3.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3.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3.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3.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3.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3.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3.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3.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3.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3.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3.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3.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3.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3.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3.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3.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3.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3.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3.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3.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3.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3.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3.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3.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3.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3.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3.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3.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3.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3.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3.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3.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3.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3.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3.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3.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3.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3.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3.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3.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3.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3.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3.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3.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3.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3.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3.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3.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3.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3.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3.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3.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3.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3.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3.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3.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3.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3.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3.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3.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3.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3.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3.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3.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3.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3.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3.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3.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3.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3.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3.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3.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3.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3.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3.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3.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3.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3.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3.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3.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3.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3.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3.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3.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3.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3.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3.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3.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3.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3.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3.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3.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3.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3.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3.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3.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3.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3.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3.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3.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3.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conditionalFormatting sqref="B3:G26">
    <cfRule type="colorScale" priority="1">
      <colorScale>
        <cfvo type="min"/>
        <cfvo type="percentile" val="50"/>
        <cfvo type="max"/>
        <color rgb="FF5A8AC6"/>
        <color rgb="FFFCFCFF"/>
        <color rgb="FFF8696B"/>
      </colorScale>
    </cfRule>
  </conditionalFormatting>
  <conditionalFormatting sqref="A4:G26 A28">
    <cfRule type="expression" dxfId="2" priority="2">
      <formula>A4=MAX($H6:$M6)</formula>
    </cfRule>
  </conditionalFormatting>
  <conditionalFormatting sqref="A27">
    <cfRule type="expression" dxfId="1" priority="3">
      <formula>A27=MAX($H31:$M31)</formula>
    </cfRule>
  </conditionalFormatting>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B25" sqref="B25"/>
    </sheetView>
  </sheetViews>
  <sheetFormatPr baseColWidth="10" defaultColWidth="12.625" defaultRowHeight="15" customHeight="1" x14ac:dyDescent="0.2"/>
  <cols>
    <col min="1" max="1" width="6.625" customWidth="1"/>
    <col min="2" max="2" width="66.25" customWidth="1"/>
    <col min="3" max="3" width="10.75" customWidth="1"/>
    <col min="4" max="4" width="47.375" customWidth="1"/>
    <col min="5" max="6" width="10.125" customWidth="1"/>
    <col min="7" max="26" width="9.375" customWidth="1"/>
  </cols>
  <sheetData>
    <row r="1" spans="1:26" ht="13.5" customHeight="1" x14ac:dyDescent="0.25">
      <c r="A1" s="7" t="s">
        <v>832</v>
      </c>
      <c r="B1" s="12"/>
      <c r="C1" s="12"/>
      <c r="D1" s="12"/>
      <c r="E1" s="12"/>
      <c r="F1" s="12"/>
      <c r="G1" s="12"/>
      <c r="H1" s="12"/>
      <c r="I1" s="12"/>
      <c r="J1" s="12"/>
      <c r="K1" s="12"/>
      <c r="L1" s="12"/>
      <c r="M1" s="12"/>
      <c r="N1" s="12"/>
      <c r="O1" s="12"/>
      <c r="P1" s="12"/>
      <c r="Q1" s="12"/>
      <c r="R1" s="12"/>
      <c r="S1" s="12"/>
      <c r="T1" s="12"/>
      <c r="U1" s="12"/>
      <c r="V1" s="12"/>
      <c r="W1" s="12"/>
      <c r="X1" s="12"/>
      <c r="Y1" s="12"/>
      <c r="Z1" s="12"/>
    </row>
    <row r="2" spans="1:26" ht="13.5" customHeight="1" x14ac:dyDescent="0.25">
      <c r="A2" s="42" t="s">
        <v>567</v>
      </c>
      <c r="B2" s="42" t="s">
        <v>568</v>
      </c>
      <c r="C2" s="42" t="s">
        <v>569</v>
      </c>
      <c r="D2" s="42" t="s">
        <v>15</v>
      </c>
      <c r="E2" s="42" t="s">
        <v>570</v>
      </c>
      <c r="F2" s="12"/>
      <c r="G2" s="12"/>
      <c r="H2" s="12"/>
      <c r="I2" s="12"/>
      <c r="J2" s="12"/>
      <c r="K2" s="12"/>
      <c r="L2" s="12"/>
      <c r="M2" s="12"/>
      <c r="N2" s="12"/>
      <c r="O2" s="12"/>
      <c r="P2" s="12"/>
      <c r="Q2" s="12"/>
      <c r="R2" s="12"/>
      <c r="S2" s="12"/>
      <c r="T2" s="12"/>
      <c r="U2" s="12"/>
      <c r="V2" s="12"/>
      <c r="W2" s="12"/>
      <c r="X2" s="12"/>
      <c r="Y2" s="12"/>
      <c r="Z2" s="12"/>
    </row>
    <row r="3" spans="1:26" ht="13.5" customHeight="1" x14ac:dyDescent="0.25">
      <c r="A3" s="43">
        <v>1</v>
      </c>
      <c r="B3" s="44" t="s">
        <v>571</v>
      </c>
      <c r="C3" s="43" t="s">
        <v>572</v>
      </c>
      <c r="D3" s="43" t="s">
        <v>35</v>
      </c>
      <c r="E3" s="11">
        <v>3.3403069805584522</v>
      </c>
      <c r="F3" s="12"/>
      <c r="G3" s="12"/>
      <c r="H3" s="12"/>
      <c r="I3" s="12"/>
      <c r="J3" s="12"/>
      <c r="K3" s="12"/>
      <c r="L3" s="12"/>
      <c r="M3" s="12"/>
      <c r="N3" s="12"/>
      <c r="O3" s="12"/>
      <c r="P3" s="12"/>
      <c r="Q3" s="12"/>
      <c r="R3" s="12"/>
      <c r="S3" s="12"/>
      <c r="T3" s="12"/>
      <c r="U3" s="12"/>
      <c r="V3" s="12"/>
      <c r="W3" s="12"/>
      <c r="X3" s="12"/>
      <c r="Y3" s="12"/>
      <c r="Z3" s="12"/>
    </row>
    <row r="4" spans="1:26" ht="13.5" customHeight="1" x14ac:dyDescent="0.25">
      <c r="A4" s="43">
        <v>2</v>
      </c>
      <c r="B4" s="44" t="s">
        <v>573</v>
      </c>
      <c r="C4" s="43" t="s">
        <v>574</v>
      </c>
      <c r="D4" s="43" t="s">
        <v>58</v>
      </c>
      <c r="E4" s="11">
        <v>3.1983246433074251</v>
      </c>
      <c r="F4" s="12"/>
      <c r="G4" s="12"/>
      <c r="H4" s="12"/>
      <c r="I4" s="12"/>
      <c r="J4" s="12"/>
      <c r="K4" s="12"/>
      <c r="L4" s="12"/>
      <c r="M4" s="12"/>
      <c r="N4" s="12"/>
      <c r="O4" s="12"/>
      <c r="P4" s="12"/>
      <c r="Q4" s="12"/>
      <c r="R4" s="12"/>
      <c r="S4" s="12"/>
      <c r="T4" s="12"/>
      <c r="U4" s="12"/>
      <c r="V4" s="12"/>
      <c r="W4" s="12"/>
      <c r="X4" s="12"/>
      <c r="Y4" s="12"/>
      <c r="Z4" s="12"/>
    </row>
    <row r="5" spans="1:26" ht="13.5" customHeight="1" x14ac:dyDescent="0.25">
      <c r="A5" s="43">
        <v>3</v>
      </c>
      <c r="B5" s="44" t="s">
        <v>575</v>
      </c>
      <c r="C5" s="43" t="s">
        <v>576</v>
      </c>
      <c r="D5" s="43" t="s">
        <v>35</v>
      </c>
      <c r="E5" s="11">
        <v>2.6568478480807443</v>
      </c>
      <c r="F5" s="12"/>
      <c r="G5" s="12"/>
      <c r="H5" s="12"/>
      <c r="I5" s="12"/>
      <c r="J5" s="12"/>
      <c r="K5" s="12"/>
      <c r="L5" s="12"/>
      <c r="M5" s="12"/>
      <c r="N5" s="12"/>
      <c r="O5" s="12"/>
      <c r="P5" s="12"/>
      <c r="Q5" s="12"/>
      <c r="R5" s="12"/>
      <c r="S5" s="12"/>
      <c r="T5" s="12"/>
      <c r="U5" s="12"/>
      <c r="V5" s="12"/>
      <c r="W5" s="12"/>
      <c r="X5" s="12"/>
      <c r="Y5" s="12"/>
      <c r="Z5" s="12"/>
    </row>
    <row r="6" spans="1:26" ht="13.5" customHeight="1" x14ac:dyDescent="0.25">
      <c r="A6" s="43">
        <v>4</v>
      </c>
      <c r="B6" s="44" t="s">
        <v>577</v>
      </c>
      <c r="C6" s="43" t="s">
        <v>578</v>
      </c>
      <c r="D6" s="43" t="s">
        <v>52</v>
      </c>
      <c r="E6" s="11">
        <v>2.4418550830570322</v>
      </c>
      <c r="F6" s="12"/>
      <c r="G6" s="12"/>
      <c r="H6" s="12"/>
      <c r="I6" s="12"/>
      <c r="J6" s="12"/>
      <c r="K6" s="12"/>
      <c r="L6" s="12"/>
      <c r="M6" s="12"/>
      <c r="N6" s="12"/>
      <c r="O6" s="12"/>
      <c r="P6" s="12"/>
      <c r="Q6" s="12"/>
      <c r="R6" s="12"/>
      <c r="S6" s="12"/>
      <c r="T6" s="12"/>
      <c r="U6" s="12"/>
      <c r="V6" s="12"/>
      <c r="W6" s="12"/>
      <c r="X6" s="12"/>
      <c r="Y6" s="12"/>
      <c r="Z6" s="12"/>
    </row>
    <row r="7" spans="1:26" ht="13.5" customHeight="1" x14ac:dyDescent="0.25">
      <c r="A7" s="43">
        <v>5</v>
      </c>
      <c r="B7" s="44" t="s">
        <v>579</v>
      </c>
      <c r="C7" s="43" t="s">
        <v>580</v>
      </c>
      <c r="D7" s="43" t="s">
        <v>36</v>
      </c>
      <c r="E7" s="11">
        <v>2.3360923495018371</v>
      </c>
      <c r="F7" s="12"/>
      <c r="G7" s="12"/>
      <c r="H7" s="12"/>
      <c r="I7" s="12"/>
      <c r="J7" s="12"/>
      <c r="K7" s="12"/>
      <c r="L7" s="12"/>
      <c r="M7" s="12"/>
      <c r="N7" s="12"/>
      <c r="O7" s="12"/>
      <c r="P7" s="12"/>
      <c r="Q7" s="12"/>
      <c r="R7" s="12"/>
      <c r="S7" s="12"/>
      <c r="T7" s="12"/>
      <c r="U7" s="12"/>
      <c r="V7" s="12"/>
      <c r="W7" s="12"/>
      <c r="X7" s="12"/>
      <c r="Y7" s="12"/>
      <c r="Z7" s="12"/>
    </row>
    <row r="8" spans="1:26" ht="13.5" customHeight="1" x14ac:dyDescent="0.25">
      <c r="A8" s="43">
        <v>6</v>
      </c>
      <c r="B8" s="44" t="s">
        <v>581</v>
      </c>
      <c r="C8" s="43" t="s">
        <v>582</v>
      </c>
      <c r="D8" s="43" t="s">
        <v>46</v>
      </c>
      <c r="E8" s="11">
        <v>2.2384300797631358</v>
      </c>
      <c r="F8" s="12"/>
      <c r="G8" s="12"/>
      <c r="H8" s="12"/>
      <c r="I8" s="12"/>
      <c r="J8" s="12"/>
      <c r="K8" s="12"/>
      <c r="L8" s="12"/>
      <c r="M8" s="12"/>
      <c r="N8" s="12"/>
      <c r="O8" s="12"/>
      <c r="P8" s="12"/>
      <c r="Q8" s="12"/>
      <c r="R8" s="12"/>
      <c r="S8" s="12"/>
      <c r="T8" s="12"/>
      <c r="U8" s="12"/>
      <c r="V8" s="12"/>
      <c r="W8" s="12"/>
      <c r="X8" s="12"/>
      <c r="Y8" s="12"/>
      <c r="Z8" s="12"/>
    </row>
    <row r="9" spans="1:26" ht="13.5" customHeight="1" x14ac:dyDescent="0.25">
      <c r="A9" s="43">
        <v>7</v>
      </c>
      <c r="B9" s="44" t="s">
        <v>583</v>
      </c>
      <c r="C9" s="43" t="s">
        <v>584</v>
      </c>
      <c r="D9" s="43" t="s">
        <v>43</v>
      </c>
      <c r="E9" s="11">
        <v>2.0191698505501505</v>
      </c>
      <c r="F9" s="12"/>
      <c r="G9" s="12"/>
      <c r="H9" s="12"/>
      <c r="I9" s="12"/>
      <c r="J9" s="12"/>
      <c r="K9" s="12"/>
      <c r="L9" s="12"/>
      <c r="M9" s="12"/>
      <c r="N9" s="12"/>
      <c r="O9" s="12"/>
      <c r="P9" s="12"/>
      <c r="Q9" s="12"/>
      <c r="R9" s="12"/>
      <c r="S9" s="12"/>
      <c r="T9" s="12"/>
      <c r="U9" s="12"/>
      <c r="V9" s="12"/>
      <c r="W9" s="12"/>
      <c r="X9" s="12"/>
      <c r="Y9" s="12"/>
      <c r="Z9" s="12"/>
    </row>
    <row r="10" spans="1:26" ht="13.5" customHeight="1" x14ac:dyDescent="0.25">
      <c r="A10" s="43">
        <v>8</v>
      </c>
      <c r="B10" s="44" t="s">
        <v>585</v>
      </c>
      <c r="C10" s="43" t="s">
        <v>586</v>
      </c>
      <c r="D10" s="43" t="s">
        <v>34</v>
      </c>
      <c r="E10" s="11">
        <v>1.5563945273775894</v>
      </c>
      <c r="F10" s="12"/>
      <c r="G10" s="12"/>
      <c r="H10" s="12"/>
      <c r="I10" s="12"/>
      <c r="J10" s="12"/>
      <c r="K10" s="12"/>
      <c r="L10" s="12"/>
      <c r="M10" s="12"/>
      <c r="N10" s="12"/>
      <c r="O10" s="12"/>
      <c r="P10" s="12"/>
      <c r="Q10" s="12"/>
      <c r="R10" s="12"/>
      <c r="S10" s="12"/>
      <c r="T10" s="12"/>
      <c r="U10" s="12"/>
      <c r="V10" s="12"/>
      <c r="W10" s="12"/>
      <c r="X10" s="12"/>
      <c r="Y10" s="12"/>
      <c r="Z10" s="12"/>
    </row>
    <row r="11" spans="1:26" ht="13.5" customHeight="1" x14ac:dyDescent="0.25">
      <c r="A11" s="43">
        <v>9</v>
      </c>
      <c r="B11" s="44" t="s">
        <v>587</v>
      </c>
      <c r="C11" s="43" t="s">
        <v>588</v>
      </c>
      <c r="D11" s="43" t="s">
        <v>43</v>
      </c>
      <c r="E11" s="11">
        <v>1.4051573303095306</v>
      </c>
      <c r="F11" s="12"/>
      <c r="G11" s="12"/>
      <c r="H11" s="12"/>
      <c r="I11" s="12"/>
      <c r="J11" s="12"/>
      <c r="K11" s="12"/>
      <c r="L11" s="12"/>
      <c r="M11" s="12"/>
      <c r="N11" s="12"/>
      <c r="O11" s="12"/>
      <c r="P11" s="12"/>
      <c r="Q11" s="12"/>
      <c r="R11" s="12"/>
      <c r="S11" s="12"/>
      <c r="T11" s="12"/>
      <c r="U11" s="12"/>
      <c r="V11" s="12"/>
      <c r="W11" s="12"/>
      <c r="X11" s="12"/>
      <c r="Y11" s="12"/>
      <c r="Z11" s="12"/>
    </row>
    <row r="12" spans="1:26" ht="13.5" customHeight="1" x14ac:dyDescent="0.25">
      <c r="A12" s="43">
        <v>10</v>
      </c>
      <c r="B12" s="44" t="s">
        <v>589</v>
      </c>
      <c r="C12" s="43" t="s">
        <v>590</v>
      </c>
      <c r="D12" s="43" t="s">
        <v>46</v>
      </c>
      <c r="E12" s="11">
        <v>1.3827255632044686</v>
      </c>
      <c r="F12" s="12"/>
      <c r="G12" s="12"/>
      <c r="H12" s="12"/>
      <c r="I12" s="12"/>
      <c r="J12" s="12"/>
      <c r="K12" s="12"/>
      <c r="L12" s="12"/>
      <c r="M12" s="12"/>
      <c r="N12" s="12"/>
      <c r="O12" s="12"/>
      <c r="P12" s="12"/>
      <c r="Q12" s="12"/>
      <c r="R12" s="12"/>
      <c r="S12" s="12"/>
      <c r="T12" s="12"/>
      <c r="U12" s="12"/>
      <c r="V12" s="12"/>
      <c r="W12" s="12"/>
      <c r="X12" s="12"/>
      <c r="Y12" s="12"/>
      <c r="Z12" s="12"/>
    </row>
    <row r="13" spans="1:26" ht="13.5" customHeight="1" x14ac:dyDescent="0.25">
      <c r="A13" s="43">
        <v>11</v>
      </c>
      <c r="B13" s="44" t="s">
        <v>591</v>
      </c>
      <c r="C13" s="43" t="s">
        <v>592</v>
      </c>
      <c r="D13" s="43" t="s">
        <v>47</v>
      </c>
      <c r="E13" s="11">
        <v>1.341872385981564</v>
      </c>
      <c r="F13" s="12"/>
      <c r="G13" s="12"/>
      <c r="H13" s="12"/>
      <c r="I13" s="12"/>
      <c r="J13" s="12"/>
      <c r="K13" s="12"/>
      <c r="L13" s="12"/>
      <c r="M13" s="12"/>
      <c r="N13" s="12"/>
      <c r="O13" s="12"/>
      <c r="P13" s="12"/>
      <c r="Q13" s="12"/>
      <c r="R13" s="12"/>
      <c r="S13" s="12"/>
      <c r="T13" s="12"/>
      <c r="U13" s="12"/>
      <c r="V13" s="12"/>
      <c r="W13" s="12"/>
      <c r="X13" s="12"/>
      <c r="Y13" s="12"/>
      <c r="Z13" s="12"/>
    </row>
    <row r="14" spans="1:26" ht="13.5" customHeight="1" x14ac:dyDescent="0.25">
      <c r="A14" s="43">
        <v>12</v>
      </c>
      <c r="B14" s="44" t="s">
        <v>593</v>
      </c>
      <c r="C14" s="43" t="s">
        <v>594</v>
      </c>
      <c r="D14" s="43" t="s">
        <v>35</v>
      </c>
      <c r="E14" s="11">
        <v>1.1532241628347979</v>
      </c>
      <c r="F14" s="12"/>
      <c r="G14" s="12"/>
      <c r="H14" s="12"/>
      <c r="I14" s="12"/>
      <c r="J14" s="12"/>
      <c r="K14" s="12"/>
      <c r="L14" s="12"/>
      <c r="M14" s="12"/>
      <c r="N14" s="12"/>
      <c r="O14" s="12"/>
      <c r="P14" s="12"/>
      <c r="Q14" s="12"/>
      <c r="R14" s="12"/>
      <c r="S14" s="12"/>
      <c r="T14" s="12"/>
      <c r="U14" s="12"/>
      <c r="V14" s="12"/>
      <c r="W14" s="12"/>
      <c r="X14" s="12"/>
      <c r="Y14" s="12"/>
      <c r="Z14" s="12"/>
    </row>
    <row r="15" spans="1:26" ht="13.5" customHeight="1" x14ac:dyDescent="0.25">
      <c r="A15" s="43">
        <v>13</v>
      </c>
      <c r="B15" s="44" t="s">
        <v>595</v>
      </c>
      <c r="C15" s="43" t="s">
        <v>596</v>
      </c>
      <c r="D15" s="43" t="s">
        <v>40</v>
      </c>
      <c r="E15" s="11">
        <v>1.1346464942073271</v>
      </c>
      <c r="F15" s="12"/>
      <c r="G15" s="12"/>
      <c r="H15" s="12"/>
      <c r="I15" s="12"/>
      <c r="J15" s="12"/>
      <c r="K15" s="12"/>
      <c r="L15" s="12"/>
      <c r="M15" s="12"/>
      <c r="N15" s="12"/>
      <c r="O15" s="12"/>
      <c r="P15" s="12"/>
      <c r="Q15" s="12"/>
      <c r="R15" s="12"/>
      <c r="S15" s="12"/>
      <c r="T15" s="12"/>
      <c r="U15" s="12"/>
      <c r="V15" s="12"/>
      <c r="W15" s="12"/>
      <c r="X15" s="12"/>
      <c r="Y15" s="12"/>
      <c r="Z15" s="12"/>
    </row>
    <row r="16" spans="1:26" ht="13.5" customHeight="1" x14ac:dyDescent="0.25">
      <c r="A16" s="43">
        <v>14</v>
      </c>
      <c r="B16" s="44" t="s">
        <v>597</v>
      </c>
      <c r="C16" s="43" t="s">
        <v>598</v>
      </c>
      <c r="D16" s="43" t="s">
        <v>38</v>
      </c>
      <c r="E16" s="11">
        <v>1.1246820910768007</v>
      </c>
      <c r="F16" s="12"/>
      <c r="G16" s="12"/>
      <c r="H16" s="12"/>
      <c r="I16" s="12"/>
      <c r="J16" s="12"/>
      <c r="K16" s="12"/>
      <c r="L16" s="12"/>
      <c r="M16" s="12"/>
      <c r="N16" s="12"/>
      <c r="O16" s="12"/>
      <c r="P16" s="12"/>
      <c r="Q16" s="12"/>
      <c r="R16" s="12"/>
      <c r="S16" s="12"/>
      <c r="T16" s="12"/>
      <c r="U16" s="12"/>
      <c r="V16" s="12"/>
      <c r="W16" s="12"/>
      <c r="X16" s="12"/>
      <c r="Y16" s="12"/>
      <c r="Z16" s="12"/>
    </row>
    <row r="17" spans="1:26" ht="13.5" customHeight="1" x14ac:dyDescent="0.25">
      <c r="A17" s="43">
        <v>15</v>
      </c>
      <c r="B17" s="44" t="s">
        <v>599</v>
      </c>
      <c r="C17" s="43" t="s">
        <v>600</v>
      </c>
      <c r="D17" s="43" t="s">
        <v>34</v>
      </c>
      <c r="E17" s="11">
        <v>1.0042573688510767</v>
      </c>
      <c r="F17" s="12"/>
      <c r="G17" s="12"/>
      <c r="H17" s="12"/>
      <c r="I17" s="12"/>
      <c r="J17" s="12"/>
      <c r="K17" s="12"/>
      <c r="L17" s="12"/>
      <c r="M17" s="12"/>
      <c r="N17" s="12"/>
      <c r="O17" s="12"/>
      <c r="P17" s="12"/>
      <c r="Q17" s="12"/>
      <c r="R17" s="12"/>
      <c r="S17" s="12"/>
      <c r="T17" s="12"/>
      <c r="U17" s="12"/>
      <c r="V17" s="12"/>
      <c r="W17" s="12"/>
      <c r="X17" s="12"/>
      <c r="Y17" s="12"/>
      <c r="Z17" s="12"/>
    </row>
    <row r="18" spans="1:26" ht="13.5" customHeight="1" x14ac:dyDescent="0.25">
      <c r="A18" s="43">
        <v>16</v>
      </c>
      <c r="B18" s="44" t="s">
        <v>601</v>
      </c>
      <c r="C18" s="43" t="s">
        <v>602</v>
      </c>
      <c r="D18" s="43" t="s">
        <v>37</v>
      </c>
      <c r="E18" s="11">
        <v>0.98265075558636539</v>
      </c>
      <c r="F18" s="12"/>
      <c r="G18" s="12"/>
      <c r="H18" s="12"/>
      <c r="I18" s="12"/>
      <c r="J18" s="12"/>
      <c r="K18" s="12"/>
      <c r="L18" s="12"/>
      <c r="M18" s="12"/>
      <c r="N18" s="12"/>
      <c r="O18" s="12"/>
      <c r="P18" s="12"/>
      <c r="Q18" s="12"/>
      <c r="R18" s="12"/>
      <c r="S18" s="12"/>
      <c r="T18" s="12"/>
      <c r="U18" s="12"/>
      <c r="V18" s="12"/>
      <c r="W18" s="12"/>
      <c r="X18" s="12"/>
      <c r="Y18" s="12"/>
      <c r="Z18" s="12"/>
    </row>
    <row r="19" spans="1:26" ht="13.5" customHeight="1" x14ac:dyDescent="0.25">
      <c r="A19" s="43">
        <v>17</v>
      </c>
      <c r="B19" s="44" t="s">
        <v>603</v>
      </c>
      <c r="C19" s="43" t="s">
        <v>604</v>
      </c>
      <c r="D19" s="43" t="s">
        <v>43</v>
      </c>
      <c r="E19" s="11">
        <v>0.96595423717054352</v>
      </c>
      <c r="F19" s="12"/>
      <c r="G19" s="12"/>
      <c r="H19" s="12"/>
      <c r="I19" s="12"/>
      <c r="J19" s="12"/>
      <c r="K19" s="12"/>
      <c r="L19" s="12"/>
      <c r="M19" s="12"/>
      <c r="N19" s="12"/>
      <c r="O19" s="12"/>
      <c r="P19" s="12"/>
      <c r="Q19" s="12"/>
      <c r="R19" s="12"/>
      <c r="S19" s="12"/>
      <c r="T19" s="12"/>
      <c r="U19" s="12"/>
      <c r="V19" s="12"/>
      <c r="W19" s="12"/>
      <c r="X19" s="12"/>
      <c r="Y19" s="12"/>
      <c r="Z19" s="12"/>
    </row>
    <row r="20" spans="1:26" ht="13.5" customHeight="1" x14ac:dyDescent="0.25">
      <c r="A20" s="43">
        <v>18</v>
      </c>
      <c r="B20" s="44" t="s">
        <v>605</v>
      </c>
      <c r="C20" s="43" t="s">
        <v>606</v>
      </c>
      <c r="D20" s="43" t="s">
        <v>35</v>
      </c>
      <c r="E20" s="11">
        <v>0.95978376924388475</v>
      </c>
      <c r="F20" s="12"/>
      <c r="G20" s="12"/>
      <c r="H20" s="12"/>
      <c r="I20" s="12"/>
      <c r="J20" s="12"/>
      <c r="K20" s="12"/>
      <c r="L20" s="12"/>
      <c r="M20" s="12"/>
      <c r="N20" s="12"/>
      <c r="O20" s="12"/>
      <c r="P20" s="12"/>
      <c r="Q20" s="12"/>
      <c r="R20" s="12"/>
      <c r="S20" s="12"/>
      <c r="T20" s="12"/>
      <c r="U20" s="12"/>
      <c r="V20" s="12"/>
      <c r="W20" s="12"/>
      <c r="X20" s="12"/>
      <c r="Y20" s="12"/>
      <c r="Z20" s="12"/>
    </row>
    <row r="21" spans="1:26" ht="13.5" customHeight="1" x14ac:dyDescent="0.25">
      <c r="A21" s="43">
        <v>19</v>
      </c>
      <c r="B21" s="44" t="s">
        <v>607</v>
      </c>
      <c r="C21" s="43" t="s">
        <v>608</v>
      </c>
      <c r="D21" s="43" t="s">
        <v>52</v>
      </c>
      <c r="E21" s="11">
        <v>0.94870526945094158</v>
      </c>
      <c r="F21" s="12"/>
      <c r="G21" s="12"/>
      <c r="H21" s="12"/>
      <c r="I21" s="12"/>
      <c r="J21" s="12"/>
      <c r="K21" s="12"/>
      <c r="L21" s="12"/>
      <c r="M21" s="12"/>
      <c r="N21" s="12"/>
      <c r="O21" s="12"/>
      <c r="P21" s="12"/>
      <c r="Q21" s="12"/>
      <c r="R21" s="12"/>
      <c r="S21" s="12"/>
      <c r="T21" s="12"/>
      <c r="U21" s="12"/>
      <c r="V21" s="12"/>
      <c r="W21" s="12"/>
      <c r="X21" s="12"/>
      <c r="Y21" s="12"/>
      <c r="Z21" s="12"/>
    </row>
    <row r="22" spans="1:26" ht="13.5" customHeight="1" x14ac:dyDescent="0.25">
      <c r="A22" s="43">
        <v>20</v>
      </c>
      <c r="B22" s="44" t="s">
        <v>609</v>
      </c>
      <c r="C22" s="43" t="s">
        <v>610</v>
      </c>
      <c r="D22" s="43" t="s">
        <v>58</v>
      </c>
      <c r="E22" s="11">
        <v>0.86591727486154835</v>
      </c>
      <c r="F22" s="12"/>
      <c r="G22" s="12"/>
      <c r="H22" s="12"/>
      <c r="I22" s="12"/>
      <c r="J22" s="12"/>
      <c r="K22" s="12"/>
      <c r="L22" s="12"/>
      <c r="M22" s="12"/>
      <c r="N22" s="12"/>
      <c r="O22" s="12"/>
      <c r="P22" s="12"/>
      <c r="Q22" s="12"/>
      <c r="R22" s="12"/>
      <c r="S22" s="12"/>
      <c r="T22" s="12"/>
      <c r="U22" s="12"/>
      <c r="V22" s="12"/>
      <c r="W22" s="12"/>
      <c r="X22" s="12"/>
      <c r="Y22" s="12"/>
      <c r="Z22" s="12"/>
    </row>
    <row r="23" spans="1:26" ht="13.5" customHeight="1" x14ac:dyDescent="0.25">
      <c r="A23" s="43">
        <v>21</v>
      </c>
      <c r="B23" s="44" t="s">
        <v>611</v>
      </c>
      <c r="C23" s="43" t="s">
        <v>612</v>
      </c>
      <c r="D23" s="43" t="s">
        <v>49</v>
      </c>
      <c r="E23" s="11">
        <v>0.8599553499384871</v>
      </c>
      <c r="F23" s="12"/>
      <c r="G23" s="12"/>
      <c r="H23" s="12"/>
      <c r="I23" s="12"/>
      <c r="J23" s="12"/>
      <c r="K23" s="12"/>
      <c r="L23" s="12"/>
      <c r="M23" s="12"/>
      <c r="N23" s="12"/>
      <c r="O23" s="12"/>
      <c r="P23" s="12"/>
      <c r="Q23" s="12"/>
      <c r="R23" s="12"/>
      <c r="S23" s="12"/>
      <c r="T23" s="12"/>
      <c r="U23" s="12"/>
      <c r="V23" s="12"/>
      <c r="W23" s="12"/>
      <c r="X23" s="12"/>
      <c r="Y23" s="12"/>
      <c r="Z23" s="12"/>
    </row>
    <row r="24" spans="1:26" ht="13.5" customHeight="1" x14ac:dyDescent="0.25">
      <c r="A24" s="43">
        <v>22</v>
      </c>
      <c r="B24" s="44" t="s">
        <v>613</v>
      </c>
      <c r="C24" s="43" t="s">
        <v>614</v>
      </c>
      <c r="D24" s="43" t="s">
        <v>58</v>
      </c>
      <c r="E24" s="11">
        <v>0.85344842298934187</v>
      </c>
      <c r="F24" s="12"/>
      <c r="G24" s="12"/>
      <c r="H24" s="12"/>
      <c r="I24" s="12"/>
      <c r="J24" s="12"/>
      <c r="K24" s="12"/>
      <c r="L24" s="12"/>
      <c r="M24" s="12"/>
      <c r="N24" s="12"/>
      <c r="O24" s="12"/>
      <c r="P24" s="12"/>
      <c r="Q24" s="12"/>
      <c r="R24" s="12"/>
      <c r="S24" s="12"/>
      <c r="T24" s="12"/>
      <c r="U24" s="12"/>
      <c r="V24" s="12"/>
      <c r="W24" s="12"/>
      <c r="X24" s="12"/>
      <c r="Y24" s="12"/>
      <c r="Z24" s="12"/>
    </row>
    <row r="25" spans="1:26" ht="13.5" customHeight="1" x14ac:dyDescent="0.25">
      <c r="A25" s="43">
        <v>23</v>
      </c>
      <c r="B25" s="44" t="s">
        <v>615</v>
      </c>
      <c r="C25" s="43" t="s">
        <v>616</v>
      </c>
      <c r="D25" s="43" t="s">
        <v>45</v>
      </c>
      <c r="E25" s="11">
        <v>0.79860568429855949</v>
      </c>
      <c r="F25" s="12"/>
      <c r="G25" s="12"/>
      <c r="H25" s="12"/>
      <c r="I25" s="12"/>
      <c r="J25" s="12"/>
      <c r="K25" s="12"/>
      <c r="L25" s="12"/>
      <c r="M25" s="12"/>
      <c r="N25" s="12"/>
      <c r="O25" s="12"/>
      <c r="P25" s="12"/>
      <c r="Q25" s="12"/>
      <c r="R25" s="12"/>
      <c r="S25" s="12"/>
      <c r="T25" s="12"/>
      <c r="U25" s="12"/>
      <c r="V25" s="12"/>
      <c r="W25" s="12"/>
      <c r="X25" s="12"/>
      <c r="Y25" s="12"/>
      <c r="Z25" s="12"/>
    </row>
    <row r="26" spans="1:26" ht="13.5" customHeight="1" x14ac:dyDescent="0.25">
      <c r="A26" s="43">
        <v>24</v>
      </c>
      <c r="B26" s="44" t="s">
        <v>617</v>
      </c>
      <c r="C26" s="43" t="s">
        <v>618</v>
      </c>
      <c r="D26" s="43" t="s">
        <v>58</v>
      </c>
      <c r="E26" s="11">
        <v>0.7324638943933125</v>
      </c>
      <c r="F26" s="12"/>
      <c r="G26" s="12"/>
      <c r="H26" s="12"/>
      <c r="I26" s="12"/>
      <c r="J26" s="12"/>
      <c r="K26" s="12"/>
      <c r="L26" s="12"/>
      <c r="M26" s="12"/>
      <c r="N26" s="12"/>
      <c r="O26" s="12"/>
      <c r="P26" s="12"/>
      <c r="Q26" s="12"/>
      <c r="R26" s="12"/>
      <c r="S26" s="12"/>
      <c r="T26" s="12"/>
      <c r="U26" s="12"/>
      <c r="V26" s="12"/>
      <c r="W26" s="12"/>
      <c r="X26" s="12"/>
      <c r="Y26" s="12"/>
      <c r="Z26" s="12"/>
    </row>
    <row r="27" spans="1:26" ht="13.5" customHeight="1" x14ac:dyDescent="0.25">
      <c r="A27" s="43">
        <v>25</v>
      </c>
      <c r="B27" s="44" t="s">
        <v>619</v>
      </c>
      <c r="C27" s="43" t="s">
        <v>620</v>
      </c>
      <c r="D27" s="43" t="s">
        <v>52</v>
      </c>
      <c r="E27" s="11">
        <v>0.70011021029170228</v>
      </c>
      <c r="F27" s="12"/>
      <c r="G27" s="12"/>
      <c r="H27" s="12"/>
      <c r="I27" s="12"/>
      <c r="J27" s="12"/>
      <c r="K27" s="12"/>
      <c r="L27" s="12"/>
      <c r="M27" s="12"/>
      <c r="N27" s="12"/>
      <c r="O27" s="12"/>
      <c r="P27" s="12"/>
      <c r="Q27" s="12"/>
      <c r="R27" s="12"/>
      <c r="S27" s="12"/>
      <c r="T27" s="12"/>
      <c r="U27" s="12"/>
      <c r="V27" s="12"/>
      <c r="W27" s="12"/>
      <c r="X27" s="12"/>
      <c r="Y27" s="12"/>
      <c r="Z27" s="12"/>
    </row>
    <row r="28" spans="1:26" ht="13.5" customHeight="1" x14ac:dyDescent="0.25">
      <c r="A28" s="43">
        <v>26</v>
      </c>
      <c r="B28" s="44" t="s">
        <v>621</v>
      </c>
      <c r="C28" s="43" t="s">
        <v>622</v>
      </c>
      <c r="D28" s="43" t="s">
        <v>38</v>
      </c>
      <c r="E28" s="11">
        <v>0.69311449591589569</v>
      </c>
      <c r="F28" s="12"/>
      <c r="G28" s="12"/>
      <c r="H28" s="12"/>
      <c r="I28" s="12"/>
      <c r="J28" s="12"/>
      <c r="K28" s="12"/>
      <c r="L28" s="12"/>
      <c r="M28" s="12"/>
      <c r="N28" s="12"/>
      <c r="O28" s="12"/>
      <c r="P28" s="12"/>
      <c r="Q28" s="12"/>
      <c r="R28" s="12"/>
      <c r="S28" s="12"/>
      <c r="T28" s="12"/>
      <c r="U28" s="12"/>
      <c r="V28" s="12"/>
      <c r="W28" s="12"/>
      <c r="X28" s="12"/>
      <c r="Y28" s="12"/>
      <c r="Z28" s="12"/>
    </row>
    <row r="29" spans="1:26" ht="13.5" customHeight="1" x14ac:dyDescent="0.25">
      <c r="A29" s="43">
        <v>27</v>
      </c>
      <c r="B29" s="44" t="s">
        <v>623</v>
      </c>
      <c r="C29" s="43" t="s">
        <v>624</v>
      </c>
      <c r="D29" s="43" t="s">
        <v>35</v>
      </c>
      <c r="E29" s="11">
        <v>0.69257444869590945</v>
      </c>
      <c r="F29" s="12"/>
      <c r="G29" s="12"/>
      <c r="H29" s="12"/>
      <c r="I29" s="12"/>
      <c r="J29" s="12"/>
      <c r="K29" s="12"/>
      <c r="L29" s="12"/>
      <c r="M29" s="12"/>
      <c r="N29" s="12"/>
      <c r="O29" s="12"/>
      <c r="P29" s="12"/>
      <c r="Q29" s="12"/>
      <c r="R29" s="12"/>
      <c r="S29" s="12"/>
      <c r="T29" s="12"/>
      <c r="U29" s="12"/>
      <c r="V29" s="12"/>
      <c r="W29" s="12"/>
      <c r="X29" s="12"/>
      <c r="Y29" s="12"/>
      <c r="Z29" s="12"/>
    </row>
    <row r="30" spans="1:26" ht="13.5" customHeight="1" x14ac:dyDescent="0.25">
      <c r="A30" s="43">
        <v>28</v>
      </c>
      <c r="B30" s="44" t="s">
        <v>625</v>
      </c>
      <c r="C30" s="43" t="s">
        <v>626</v>
      </c>
      <c r="D30" s="43" t="s">
        <v>48</v>
      </c>
      <c r="E30" s="11">
        <v>0.65626135971160038</v>
      </c>
      <c r="F30" s="12"/>
      <c r="G30" s="12"/>
      <c r="H30" s="12"/>
      <c r="I30" s="12"/>
      <c r="J30" s="12"/>
      <c r="K30" s="12"/>
      <c r="L30" s="12"/>
      <c r="M30" s="12"/>
      <c r="N30" s="12"/>
      <c r="O30" s="12"/>
      <c r="P30" s="12"/>
      <c r="Q30" s="12"/>
      <c r="R30" s="12"/>
      <c r="S30" s="12"/>
      <c r="T30" s="12"/>
      <c r="U30" s="12"/>
      <c r="V30" s="12"/>
      <c r="W30" s="12"/>
      <c r="X30" s="12"/>
      <c r="Y30" s="12"/>
      <c r="Z30" s="12"/>
    </row>
    <row r="31" spans="1:26" ht="13.5" customHeight="1" x14ac:dyDescent="0.25">
      <c r="A31" s="43">
        <v>29</v>
      </c>
      <c r="B31" s="44" t="s">
        <v>627</v>
      </c>
      <c r="C31" s="43" t="s">
        <v>628</v>
      </c>
      <c r="D31" s="43" t="s">
        <v>37</v>
      </c>
      <c r="E31" s="11">
        <v>0.65245649895348756</v>
      </c>
      <c r="F31" s="12"/>
      <c r="G31" s="12"/>
      <c r="H31" s="12"/>
      <c r="I31" s="12"/>
      <c r="J31" s="12"/>
      <c r="K31" s="12"/>
      <c r="L31" s="12"/>
      <c r="M31" s="12"/>
      <c r="N31" s="12"/>
      <c r="O31" s="12"/>
      <c r="P31" s="12"/>
      <c r="Q31" s="12"/>
      <c r="R31" s="12"/>
      <c r="S31" s="12"/>
      <c r="T31" s="12"/>
      <c r="U31" s="12"/>
      <c r="V31" s="12"/>
      <c r="W31" s="12"/>
      <c r="X31" s="12"/>
      <c r="Y31" s="12"/>
      <c r="Z31" s="12"/>
    </row>
    <row r="32" spans="1:26" ht="13.5" customHeight="1" x14ac:dyDescent="0.25">
      <c r="A32" s="43">
        <v>30</v>
      </c>
      <c r="B32" s="44" t="s">
        <v>629</v>
      </c>
      <c r="C32" s="43" t="s">
        <v>630</v>
      </c>
      <c r="D32" s="43" t="s">
        <v>58</v>
      </c>
      <c r="E32" s="11">
        <v>0.63957836897671727</v>
      </c>
      <c r="F32" s="12"/>
      <c r="G32" s="12"/>
      <c r="H32" s="12"/>
      <c r="I32" s="12"/>
      <c r="J32" s="12"/>
      <c r="K32" s="12"/>
      <c r="L32" s="12"/>
      <c r="M32" s="12"/>
      <c r="N32" s="12"/>
      <c r="O32" s="12"/>
      <c r="P32" s="12"/>
      <c r="Q32" s="12"/>
      <c r="R32" s="12"/>
      <c r="S32" s="12"/>
      <c r="T32" s="12"/>
      <c r="U32" s="12"/>
      <c r="V32" s="12"/>
      <c r="W32" s="12"/>
      <c r="X32" s="12"/>
      <c r="Y32" s="12"/>
      <c r="Z32" s="12"/>
    </row>
    <row r="33" spans="1:26" ht="13.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3.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3.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3.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3.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3.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3.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3.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3.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3.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3.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3.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3.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3.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3.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3.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3.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3.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3.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3.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3.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3.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3.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3.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3.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3.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3.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3.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3.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3.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3.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3.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3.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3.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3.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3.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3.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3.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3.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3.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3.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3.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3.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3.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3.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3.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3.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3.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3.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3.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3.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3.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3.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3.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3.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3.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3.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3.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3.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3.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3.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3.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3.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3.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3.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3.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3.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3.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3.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3.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3.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3.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3.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3.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3.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3.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3.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3.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3.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3.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3.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3.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3.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3.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3.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3.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3.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3.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3.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3.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3.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3.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3.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3.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3.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3.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3.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3.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3.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3.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3.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3.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3.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3.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3.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3.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3.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3.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3.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3.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3.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3.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3.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3.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3.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3.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3.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3.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3.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3.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3.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3.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3.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3.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3.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3.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3.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3.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3.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3.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3.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3.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3.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3.5"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3.5"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3.5"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3.5"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3.5"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3.5"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3.5"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3.5"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3.5"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3.5"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3.5"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3.5"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3.5"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3.5"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3.5"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3.5"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3.5"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3.5"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3.5"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3.5"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3.5"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3.5"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3.5"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3.5"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3.5"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3.5"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3.5"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3.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3.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3.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3.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3.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3.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3.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3.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3.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3.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3.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3.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3.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3.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3.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3.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3.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3.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3.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3.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3.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3.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3.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3.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3.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3.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3.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3.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3.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3.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3.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3.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3.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3.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3.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3.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3.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3.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3.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3.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3.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3.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3.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3.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3.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3.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3.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3.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3.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3.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3.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3.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3.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3.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3.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3.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3.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3.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3.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3.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3.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3.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3.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3.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3.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3.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3.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3.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3.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3.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3.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3.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3.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3.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3.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3.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3.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3.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3.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3.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3.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3.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3.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3.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3.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3.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3.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3.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3.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3.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3.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3.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3.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3.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3.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3.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3.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3.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3.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3.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3.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3.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3.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3.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3.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3.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3.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3.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3.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3.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3.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3.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3.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3.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3.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3.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3.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3.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3.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3.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3.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3.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3.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3.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3.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3.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3.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3.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3.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3.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3.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3.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3.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3.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3.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3.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3.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3.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3.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3.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3.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3.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3.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3.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3.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3.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3.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3.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3.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3.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3.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3.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3.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3.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3.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3.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3.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3.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3.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3.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3.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3.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3.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3.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3.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3.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3.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3.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3.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3.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3.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3.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3.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3.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3.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3.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3.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3.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3.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3.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3.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3.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3.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3.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3.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3.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3.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3.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3.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3.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3.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3.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3.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3.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3.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3.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3.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3.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3.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3.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3.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3.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3.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3.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3.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3.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3.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3.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3.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3.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3.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3.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3.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3.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3.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3.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3.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3.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3.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3.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3.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3.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3.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3.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3.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3.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3.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3.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3.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3.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3.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3.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3.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3.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3.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3.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3.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3.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3.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3.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3.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3.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3.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3.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3.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3.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3.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3.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3.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3.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3.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3.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3.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3.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3.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3.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3.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3.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3.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3.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3.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3.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3.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3.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3.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3.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3.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3.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3.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3.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3.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3.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3.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3.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3.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3.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3.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3.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3.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3.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3.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3.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3.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3.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3.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3.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3.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3.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3.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3.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3.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3.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3.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3.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3.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3.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3.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3.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3.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3.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3.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3.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3.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3.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3.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3.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3.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3.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3.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3.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3.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3.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3.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3.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3.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3.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3.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3.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3.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3.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3.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3.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3.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3.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3.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3.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3.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3.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3.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3.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3.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3.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3.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3.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3.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3.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3.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3.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3.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3.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3.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3.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3.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3.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3.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3.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3.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3.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3.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3.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3.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3.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3.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3.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3.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3.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3.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3.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3.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3.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3.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3.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3.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3.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3.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3.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3.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3.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3.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3.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3.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3.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3.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3.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3.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3.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3.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3.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3.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3.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3.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3.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3.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3.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3.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3.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3.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3.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3.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3.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3.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3.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3.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3.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3.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3.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3.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3.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3.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3.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3.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3.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3.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3.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3.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3.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3.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3.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3.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3.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3.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3.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3.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3.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3.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3.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3.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3.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3.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3.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3.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3.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3.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3.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3.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3.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3.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3.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3.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3.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3.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3.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3.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3.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3.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3.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3.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3.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3.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3.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3.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3.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3.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3.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3.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3.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3.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3.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3.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3.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3.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3.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3.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3.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3.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3.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3.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3.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3.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3.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3.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3.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3.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3.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3.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3.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3.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3.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3.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3.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3.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3.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3.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3.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3.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3.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3.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3.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3.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3.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3.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3.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3.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3.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3.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3.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3.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3.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3.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3.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3.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3.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3.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3.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3.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3.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3.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3.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3.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3.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3.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3.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3.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3.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3.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3.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3.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3.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3.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3.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3.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3.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3.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3.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3.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3.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3.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3.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3.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3.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3.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3.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3.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3.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3.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3.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3.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3.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3.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3.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3.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3.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3.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3.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3.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3.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3.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3.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3.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3.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3.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3.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3.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3.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3.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3.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3.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3.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3.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3.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3.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3.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3.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3.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3.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3.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3.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3.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3.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3.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3.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3.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3.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3.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3.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3.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3.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3.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3.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3.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3.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3.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3.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3.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3.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3.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3.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3.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3.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3.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3.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3.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3.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3.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3.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3.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3.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3.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3.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3.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3.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3.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3.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3.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3.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3.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3.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3.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3.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3.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3.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3.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3.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3.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3.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3.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3.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3.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3.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3.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3.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3.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3.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3.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3.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3.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3.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3.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3.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3.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3.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3.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3.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3.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3.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3.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3.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3.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3.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3.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3.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3.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3.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3.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3.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3.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3.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3.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3.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3.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3.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3.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3.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3.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3.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3.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3.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3.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3.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3.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3.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3.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3.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3.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3.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3.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3.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3.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3.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3.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3.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3.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3.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3.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3.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3.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3.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3.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3.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3.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3.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3.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3.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3.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3.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3.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3.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3.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3.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3.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3.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3.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3.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3.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3.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3.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3.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3.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3.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3.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3.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3.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3.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3.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3.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3.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3.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3.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3.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3.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3.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3.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3.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3.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3.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3.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3.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3.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3.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3.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3.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3.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3.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3.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3.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3.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3.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3.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3.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3.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3.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3.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3.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3.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3.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3.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3.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3.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3.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3.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3.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3.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3.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3.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3.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3.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3.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3.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3.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3.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3.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3.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3.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3.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3.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3.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3.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3.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3.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3.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3.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x14ac:dyDescent="0.2"/>
  <cols>
    <col min="1" max="2" width="10.125" customWidth="1"/>
    <col min="3" max="3" width="51" customWidth="1"/>
    <col min="4" max="4" width="14.5" customWidth="1"/>
    <col min="5" max="5" width="42.25" customWidth="1"/>
    <col min="6" max="8" width="10.125" customWidth="1"/>
    <col min="9" max="26" width="9.375" customWidth="1"/>
  </cols>
  <sheetData>
    <row r="1" spans="1:26" ht="13.5" customHeight="1" x14ac:dyDescent="0.25">
      <c r="A1" s="12" t="s">
        <v>833</v>
      </c>
      <c r="B1" s="12"/>
      <c r="C1" s="12"/>
      <c r="D1" s="12"/>
      <c r="E1" s="12"/>
      <c r="F1" s="12"/>
      <c r="G1" s="12"/>
      <c r="H1" s="45"/>
      <c r="I1" s="12"/>
      <c r="J1" s="12"/>
      <c r="K1" s="12"/>
      <c r="L1" s="12"/>
      <c r="M1" s="12"/>
      <c r="N1" s="12"/>
      <c r="O1" s="12"/>
      <c r="P1" s="12"/>
      <c r="Q1" s="12"/>
      <c r="R1" s="12"/>
      <c r="S1" s="12"/>
      <c r="T1" s="12"/>
      <c r="U1" s="12"/>
      <c r="V1" s="12"/>
      <c r="W1" s="12"/>
      <c r="X1" s="12"/>
      <c r="Y1" s="12"/>
      <c r="Z1" s="12"/>
    </row>
    <row r="2" spans="1:26" ht="13.5" customHeight="1" x14ac:dyDescent="0.25">
      <c r="A2" s="46" t="s">
        <v>631</v>
      </c>
      <c r="B2" s="46" t="s">
        <v>62</v>
      </c>
      <c r="C2" s="46" t="s">
        <v>632</v>
      </c>
      <c r="D2" s="46" t="s">
        <v>633</v>
      </c>
      <c r="E2" s="46" t="s">
        <v>634</v>
      </c>
      <c r="F2" s="12"/>
      <c r="G2" s="12"/>
      <c r="H2" s="47"/>
      <c r="I2" s="12"/>
      <c r="J2" s="12"/>
      <c r="K2" s="12"/>
      <c r="L2" s="12"/>
      <c r="M2" s="12"/>
      <c r="N2" s="12"/>
      <c r="O2" s="12"/>
      <c r="P2" s="12"/>
      <c r="Q2" s="12"/>
      <c r="R2" s="12"/>
      <c r="S2" s="12"/>
      <c r="T2" s="12"/>
      <c r="U2" s="12"/>
      <c r="V2" s="12"/>
      <c r="W2" s="12"/>
      <c r="X2" s="12"/>
      <c r="Y2" s="12"/>
      <c r="Z2" s="12"/>
    </row>
    <row r="3" spans="1:26" ht="13.5" customHeight="1" x14ac:dyDescent="0.25">
      <c r="A3" s="11" t="s">
        <v>635</v>
      </c>
      <c r="B3" s="11" t="s">
        <v>636</v>
      </c>
      <c r="C3" s="11" t="s">
        <v>637</v>
      </c>
      <c r="D3" s="11" t="s">
        <v>638</v>
      </c>
      <c r="E3" s="11" t="s">
        <v>67</v>
      </c>
      <c r="F3" s="12"/>
      <c r="G3" s="12"/>
      <c r="H3" s="45"/>
      <c r="I3" s="12"/>
      <c r="J3" s="12"/>
      <c r="K3" s="12"/>
      <c r="L3" s="12"/>
      <c r="M3" s="12"/>
      <c r="N3" s="12"/>
      <c r="O3" s="12"/>
      <c r="P3" s="12"/>
      <c r="Q3" s="12"/>
      <c r="R3" s="12"/>
      <c r="S3" s="12"/>
      <c r="T3" s="12"/>
      <c r="U3" s="12"/>
      <c r="V3" s="12"/>
      <c r="W3" s="12"/>
      <c r="X3" s="12"/>
      <c r="Y3" s="12"/>
      <c r="Z3" s="12"/>
    </row>
    <row r="4" spans="1:26" ht="13.5" customHeight="1" x14ac:dyDescent="0.25">
      <c r="A4" s="11" t="s">
        <v>639</v>
      </c>
      <c r="B4" s="11" t="s">
        <v>640</v>
      </c>
      <c r="C4" s="11" t="s">
        <v>641</v>
      </c>
      <c r="D4" s="11" t="s">
        <v>642</v>
      </c>
      <c r="E4" s="11" t="s">
        <v>643</v>
      </c>
      <c r="F4" s="12"/>
      <c r="G4" s="12"/>
      <c r="H4" s="47"/>
      <c r="I4" s="12"/>
      <c r="J4" s="12"/>
      <c r="K4" s="12"/>
      <c r="L4" s="12"/>
      <c r="M4" s="12"/>
      <c r="N4" s="12"/>
      <c r="O4" s="12"/>
      <c r="P4" s="12"/>
      <c r="Q4" s="12"/>
      <c r="R4" s="12"/>
      <c r="S4" s="12"/>
      <c r="T4" s="12"/>
      <c r="U4" s="12"/>
      <c r="V4" s="12"/>
      <c r="W4" s="12"/>
      <c r="X4" s="12"/>
      <c r="Y4" s="12"/>
      <c r="Z4" s="12"/>
    </row>
    <row r="5" spans="1:26" ht="13.5" customHeight="1" x14ac:dyDescent="0.25">
      <c r="A5" s="11" t="s">
        <v>644</v>
      </c>
      <c r="B5" s="11" t="s">
        <v>645</v>
      </c>
      <c r="C5" s="11" t="s">
        <v>646</v>
      </c>
      <c r="D5" s="11" t="s">
        <v>647</v>
      </c>
      <c r="E5" s="11" t="s">
        <v>648</v>
      </c>
      <c r="F5" s="12"/>
      <c r="G5" s="12"/>
      <c r="H5" s="47"/>
      <c r="I5" s="12"/>
      <c r="J5" s="12"/>
      <c r="K5" s="12"/>
      <c r="L5" s="12"/>
      <c r="M5" s="12"/>
      <c r="N5" s="12"/>
      <c r="O5" s="12"/>
      <c r="P5" s="12"/>
      <c r="Q5" s="12"/>
      <c r="R5" s="12"/>
      <c r="S5" s="12"/>
      <c r="T5" s="12"/>
      <c r="U5" s="12"/>
      <c r="V5" s="12"/>
      <c r="W5" s="12"/>
      <c r="X5" s="12"/>
      <c r="Y5" s="12"/>
      <c r="Z5" s="12"/>
    </row>
    <row r="6" spans="1:26" ht="13.5" customHeight="1" x14ac:dyDescent="0.25">
      <c r="A6" s="11" t="s">
        <v>649</v>
      </c>
      <c r="B6" s="11" t="s">
        <v>650</v>
      </c>
      <c r="C6" s="11" t="s">
        <v>651</v>
      </c>
      <c r="D6" s="11" t="s">
        <v>647</v>
      </c>
      <c r="E6" s="11" t="s">
        <v>648</v>
      </c>
      <c r="F6" s="12"/>
      <c r="G6" s="12"/>
      <c r="H6" s="47"/>
      <c r="I6" s="12"/>
      <c r="J6" s="12"/>
      <c r="K6" s="12"/>
      <c r="L6" s="12"/>
      <c r="M6" s="12"/>
      <c r="N6" s="12"/>
      <c r="O6" s="12"/>
      <c r="P6" s="12"/>
      <c r="Q6" s="12"/>
      <c r="R6" s="12"/>
      <c r="S6" s="12"/>
      <c r="T6" s="12"/>
      <c r="U6" s="12"/>
      <c r="V6" s="12"/>
      <c r="W6" s="12"/>
      <c r="X6" s="12"/>
      <c r="Y6" s="12"/>
      <c r="Z6" s="12"/>
    </row>
    <row r="7" spans="1:26" ht="13.5" customHeight="1" x14ac:dyDescent="0.25">
      <c r="A7" s="11" t="s">
        <v>652</v>
      </c>
      <c r="B7" s="11" t="s">
        <v>653</v>
      </c>
      <c r="C7" s="11" t="s">
        <v>654</v>
      </c>
      <c r="D7" s="11" t="s">
        <v>655</v>
      </c>
      <c r="E7" s="11" t="s">
        <v>648</v>
      </c>
      <c r="F7" s="12"/>
      <c r="G7" s="12"/>
      <c r="H7" s="47"/>
      <c r="I7" s="12"/>
      <c r="J7" s="12"/>
      <c r="K7" s="12"/>
      <c r="L7" s="12"/>
      <c r="M7" s="12"/>
      <c r="N7" s="12"/>
      <c r="O7" s="12"/>
      <c r="P7" s="12"/>
      <c r="Q7" s="12"/>
      <c r="R7" s="12"/>
      <c r="S7" s="12"/>
      <c r="T7" s="12"/>
      <c r="U7" s="12"/>
      <c r="V7" s="12"/>
      <c r="W7" s="12"/>
      <c r="X7" s="12"/>
      <c r="Y7" s="12"/>
      <c r="Z7" s="12"/>
    </row>
    <row r="8" spans="1:26" ht="13.5" customHeight="1" x14ac:dyDescent="0.25">
      <c r="A8" s="11" t="s">
        <v>656</v>
      </c>
      <c r="B8" s="11" t="s">
        <v>657</v>
      </c>
      <c r="C8" s="11" t="s">
        <v>658</v>
      </c>
      <c r="D8" s="11" t="s">
        <v>655</v>
      </c>
      <c r="E8" s="11" t="s">
        <v>69</v>
      </c>
      <c r="F8" s="12"/>
      <c r="G8" s="12"/>
      <c r="H8" s="47"/>
      <c r="I8" s="12"/>
      <c r="J8" s="12"/>
      <c r="K8" s="12"/>
      <c r="L8" s="12"/>
      <c r="M8" s="12"/>
      <c r="N8" s="12"/>
      <c r="O8" s="12"/>
      <c r="P8" s="12"/>
      <c r="Q8" s="12"/>
      <c r="R8" s="12"/>
      <c r="S8" s="12"/>
      <c r="T8" s="12"/>
      <c r="U8" s="12"/>
      <c r="V8" s="12"/>
      <c r="W8" s="12"/>
      <c r="X8" s="12"/>
      <c r="Y8" s="12"/>
      <c r="Z8" s="12"/>
    </row>
    <row r="9" spans="1:26" ht="13.5" customHeight="1" x14ac:dyDescent="0.25">
      <c r="A9" s="11" t="s">
        <v>659</v>
      </c>
      <c r="B9" s="11" t="s">
        <v>660</v>
      </c>
      <c r="C9" s="11" t="s">
        <v>661</v>
      </c>
      <c r="D9" s="11" t="s">
        <v>662</v>
      </c>
      <c r="E9" s="11" t="s">
        <v>663</v>
      </c>
      <c r="F9" s="12"/>
      <c r="G9" s="12"/>
      <c r="H9" s="47"/>
      <c r="I9" s="12"/>
      <c r="J9" s="12"/>
      <c r="K9" s="12"/>
      <c r="L9" s="12"/>
      <c r="M9" s="12"/>
      <c r="N9" s="12"/>
      <c r="O9" s="12"/>
      <c r="P9" s="12"/>
      <c r="Q9" s="12"/>
      <c r="R9" s="12"/>
      <c r="S9" s="12"/>
      <c r="T9" s="12"/>
      <c r="U9" s="12"/>
      <c r="V9" s="12"/>
      <c r="W9" s="12"/>
      <c r="X9" s="12"/>
      <c r="Y9" s="12"/>
      <c r="Z9" s="12"/>
    </row>
    <row r="10" spans="1:26" ht="13.5" customHeight="1" x14ac:dyDescent="0.25">
      <c r="A10" s="11" t="s">
        <v>664</v>
      </c>
      <c r="B10" s="11" t="s">
        <v>665</v>
      </c>
      <c r="C10" s="11" t="s">
        <v>666</v>
      </c>
      <c r="D10" s="11" t="s">
        <v>662</v>
      </c>
      <c r="E10" s="11" t="s">
        <v>73</v>
      </c>
      <c r="F10" s="12"/>
      <c r="G10" s="12"/>
      <c r="H10" s="45"/>
      <c r="I10" s="12"/>
      <c r="J10" s="12"/>
      <c r="K10" s="12"/>
      <c r="L10" s="12"/>
      <c r="M10" s="12"/>
      <c r="N10" s="12"/>
      <c r="O10" s="12"/>
      <c r="P10" s="12"/>
      <c r="Q10" s="12"/>
      <c r="R10" s="12"/>
      <c r="S10" s="12"/>
      <c r="T10" s="12"/>
      <c r="U10" s="12"/>
      <c r="V10" s="12"/>
      <c r="W10" s="12"/>
      <c r="X10" s="12"/>
      <c r="Y10" s="12"/>
      <c r="Z10" s="12"/>
    </row>
    <row r="11" spans="1:26" ht="13.5" customHeight="1" x14ac:dyDescent="0.25">
      <c r="A11" s="11" t="s">
        <v>667</v>
      </c>
      <c r="B11" s="11" t="s">
        <v>668</v>
      </c>
      <c r="C11" s="11" t="s">
        <v>669</v>
      </c>
      <c r="D11" s="11" t="s">
        <v>670</v>
      </c>
      <c r="E11" s="11" t="s">
        <v>67</v>
      </c>
      <c r="F11" s="12"/>
      <c r="G11" s="12"/>
      <c r="H11" s="47"/>
      <c r="I11" s="12"/>
      <c r="J11" s="12"/>
      <c r="K11" s="12"/>
      <c r="L11" s="12"/>
      <c r="M11" s="12"/>
      <c r="N11" s="12"/>
      <c r="O11" s="12"/>
      <c r="P11" s="12"/>
      <c r="Q11" s="12"/>
      <c r="R11" s="12"/>
      <c r="S11" s="12"/>
      <c r="T11" s="12"/>
      <c r="U11" s="12"/>
      <c r="V11" s="12"/>
      <c r="W11" s="12"/>
      <c r="X11" s="12"/>
      <c r="Y11" s="12"/>
      <c r="Z11" s="12"/>
    </row>
    <row r="12" spans="1:26" ht="13.5" customHeight="1" x14ac:dyDescent="0.25">
      <c r="A12" s="11" t="s">
        <v>671</v>
      </c>
      <c r="B12" s="11" t="s">
        <v>672</v>
      </c>
      <c r="C12" s="11" t="s">
        <v>673</v>
      </c>
      <c r="D12" s="11" t="s">
        <v>674</v>
      </c>
      <c r="E12" s="11" t="s">
        <v>67</v>
      </c>
      <c r="F12" s="12"/>
      <c r="G12" s="12"/>
      <c r="H12" s="45"/>
      <c r="I12" s="12"/>
      <c r="J12" s="12"/>
      <c r="K12" s="12"/>
      <c r="L12" s="12"/>
      <c r="M12" s="12"/>
      <c r="N12" s="12"/>
      <c r="O12" s="12"/>
      <c r="P12" s="12"/>
      <c r="Q12" s="12"/>
      <c r="R12" s="12"/>
      <c r="S12" s="12"/>
      <c r="T12" s="12"/>
      <c r="U12" s="12"/>
      <c r="V12" s="12"/>
      <c r="W12" s="12"/>
      <c r="X12" s="12"/>
      <c r="Y12" s="12"/>
      <c r="Z12" s="12"/>
    </row>
    <row r="13" spans="1:26" ht="13.5" customHeight="1" x14ac:dyDescent="0.25">
      <c r="A13" s="11" t="s">
        <v>675</v>
      </c>
      <c r="B13" s="11" t="s">
        <v>676</v>
      </c>
      <c r="C13" s="11" t="s">
        <v>677</v>
      </c>
      <c r="D13" s="11" t="s">
        <v>678</v>
      </c>
      <c r="E13" s="11" t="s">
        <v>679</v>
      </c>
      <c r="F13" s="12"/>
      <c r="G13" s="12"/>
      <c r="H13" s="47"/>
      <c r="I13" s="12"/>
      <c r="J13" s="12"/>
      <c r="K13" s="12"/>
      <c r="L13" s="12"/>
      <c r="M13" s="12"/>
      <c r="N13" s="12"/>
      <c r="O13" s="12"/>
      <c r="P13" s="12"/>
      <c r="Q13" s="12"/>
      <c r="R13" s="12"/>
      <c r="S13" s="12"/>
      <c r="T13" s="12"/>
      <c r="U13" s="12"/>
      <c r="V13" s="12"/>
      <c r="W13" s="12"/>
      <c r="X13" s="12"/>
      <c r="Y13" s="12"/>
      <c r="Z13" s="12"/>
    </row>
    <row r="14" spans="1:26" ht="13.5" customHeight="1" x14ac:dyDescent="0.25">
      <c r="A14" s="11" t="s">
        <v>680</v>
      </c>
      <c r="B14" s="11" t="s">
        <v>681</v>
      </c>
      <c r="C14" s="11" t="s">
        <v>682</v>
      </c>
      <c r="D14" s="11" t="s">
        <v>683</v>
      </c>
      <c r="E14" s="11" t="s">
        <v>67</v>
      </c>
      <c r="F14" s="12"/>
      <c r="G14" s="12"/>
      <c r="H14" s="45"/>
      <c r="I14" s="12"/>
      <c r="J14" s="12"/>
      <c r="K14" s="12"/>
      <c r="L14" s="12"/>
      <c r="M14" s="12"/>
      <c r="N14" s="12"/>
      <c r="O14" s="12"/>
      <c r="P14" s="12"/>
      <c r="Q14" s="12"/>
      <c r="R14" s="12"/>
      <c r="S14" s="12"/>
      <c r="T14" s="12"/>
      <c r="U14" s="12"/>
      <c r="V14" s="12"/>
      <c r="W14" s="12"/>
      <c r="X14" s="12"/>
      <c r="Y14" s="12"/>
      <c r="Z14" s="12"/>
    </row>
    <row r="15" spans="1:26" ht="13.5" customHeight="1" x14ac:dyDescent="0.25">
      <c r="A15" s="11" t="s">
        <v>684</v>
      </c>
      <c r="B15" s="11" t="s">
        <v>685</v>
      </c>
      <c r="C15" s="11" t="s">
        <v>686</v>
      </c>
      <c r="D15" s="11" t="s">
        <v>687</v>
      </c>
      <c r="E15" s="11" t="s">
        <v>67</v>
      </c>
      <c r="F15" s="12"/>
      <c r="G15" s="12"/>
      <c r="H15" s="47"/>
      <c r="I15" s="12"/>
      <c r="J15" s="12"/>
      <c r="K15" s="12"/>
      <c r="L15" s="12"/>
      <c r="M15" s="12"/>
      <c r="N15" s="12"/>
      <c r="O15" s="12"/>
      <c r="P15" s="12"/>
      <c r="Q15" s="12"/>
      <c r="R15" s="12"/>
      <c r="S15" s="12"/>
      <c r="T15" s="12"/>
      <c r="U15" s="12"/>
      <c r="V15" s="12"/>
      <c r="W15" s="12"/>
      <c r="X15" s="12"/>
      <c r="Y15" s="12"/>
      <c r="Z15" s="12"/>
    </row>
    <row r="16" spans="1:26" ht="13.5" customHeight="1" x14ac:dyDescent="0.25">
      <c r="A16" s="11" t="s">
        <v>688</v>
      </c>
      <c r="B16" s="11" t="s">
        <v>689</v>
      </c>
      <c r="C16" s="11" t="s">
        <v>690</v>
      </c>
      <c r="D16" s="11" t="s">
        <v>687</v>
      </c>
      <c r="E16" s="11" t="s">
        <v>67</v>
      </c>
      <c r="F16" s="12"/>
      <c r="G16" s="12"/>
      <c r="H16" s="45"/>
      <c r="I16" s="12"/>
      <c r="J16" s="12"/>
      <c r="K16" s="12"/>
      <c r="L16" s="12"/>
      <c r="M16" s="12"/>
      <c r="N16" s="12"/>
      <c r="O16" s="12"/>
      <c r="P16" s="12"/>
      <c r="Q16" s="12"/>
      <c r="R16" s="12"/>
      <c r="S16" s="12"/>
      <c r="T16" s="12"/>
      <c r="U16" s="12"/>
      <c r="V16" s="12"/>
      <c r="W16" s="12"/>
      <c r="X16" s="12"/>
      <c r="Y16" s="12"/>
      <c r="Z16" s="12"/>
    </row>
    <row r="17" spans="1:26" ht="13.5" customHeight="1" x14ac:dyDescent="0.25">
      <c r="A17" s="11" t="s">
        <v>691</v>
      </c>
      <c r="B17" s="11" t="s">
        <v>692</v>
      </c>
      <c r="C17" s="11" t="s">
        <v>693</v>
      </c>
      <c r="D17" s="11" t="s">
        <v>694</v>
      </c>
      <c r="E17" s="11" t="s">
        <v>67</v>
      </c>
      <c r="F17" s="12"/>
      <c r="G17" s="12"/>
      <c r="H17" s="47"/>
      <c r="I17" s="12"/>
      <c r="J17" s="12"/>
      <c r="K17" s="12"/>
      <c r="L17" s="12"/>
      <c r="M17" s="12"/>
      <c r="N17" s="12"/>
      <c r="O17" s="12"/>
      <c r="P17" s="12"/>
      <c r="Q17" s="12"/>
      <c r="R17" s="12"/>
      <c r="S17" s="12"/>
      <c r="T17" s="12"/>
      <c r="U17" s="12"/>
      <c r="V17" s="12"/>
      <c r="W17" s="12"/>
      <c r="X17" s="12"/>
      <c r="Y17" s="12"/>
      <c r="Z17" s="12"/>
    </row>
    <row r="18" spans="1:26" ht="13.5" customHeight="1" x14ac:dyDescent="0.25">
      <c r="A18" s="11" t="s">
        <v>695</v>
      </c>
      <c r="B18" s="11" t="s">
        <v>696</v>
      </c>
      <c r="C18" s="11" t="s">
        <v>697</v>
      </c>
      <c r="D18" s="11" t="s">
        <v>698</v>
      </c>
      <c r="E18" s="11" t="s">
        <v>67</v>
      </c>
      <c r="F18" s="12"/>
      <c r="G18" s="12"/>
      <c r="H18" s="45"/>
      <c r="I18" s="12"/>
      <c r="J18" s="12"/>
      <c r="K18" s="12"/>
      <c r="L18" s="12"/>
      <c r="M18" s="12"/>
      <c r="N18" s="12"/>
      <c r="O18" s="12"/>
      <c r="P18" s="12"/>
      <c r="Q18" s="12"/>
      <c r="R18" s="12"/>
      <c r="S18" s="12"/>
      <c r="T18" s="12"/>
      <c r="U18" s="12"/>
      <c r="V18" s="12"/>
      <c r="W18" s="12"/>
      <c r="X18" s="12"/>
      <c r="Y18" s="12"/>
      <c r="Z18" s="12"/>
    </row>
    <row r="19" spans="1:26" ht="13.5" customHeight="1" x14ac:dyDescent="0.25">
      <c r="A19" s="11" t="s">
        <v>699</v>
      </c>
      <c r="B19" s="11" t="s">
        <v>700</v>
      </c>
      <c r="C19" s="11" t="s">
        <v>701</v>
      </c>
      <c r="D19" s="11" t="s">
        <v>702</v>
      </c>
      <c r="E19" s="11" t="s">
        <v>67</v>
      </c>
      <c r="F19" s="12"/>
      <c r="G19" s="12"/>
      <c r="H19" s="47"/>
      <c r="I19" s="12"/>
      <c r="J19" s="12"/>
      <c r="K19" s="12"/>
      <c r="L19" s="12"/>
      <c r="M19" s="12"/>
      <c r="N19" s="12"/>
      <c r="O19" s="12"/>
      <c r="P19" s="12"/>
      <c r="Q19" s="12"/>
      <c r="R19" s="12"/>
      <c r="S19" s="12"/>
      <c r="T19" s="12"/>
      <c r="U19" s="12"/>
      <c r="V19" s="12"/>
      <c r="W19" s="12"/>
      <c r="X19" s="12"/>
      <c r="Y19" s="12"/>
      <c r="Z19" s="12"/>
    </row>
    <row r="20" spans="1:26" ht="13.5" customHeight="1" x14ac:dyDescent="0.25">
      <c r="A20" s="11" t="s">
        <v>703</v>
      </c>
      <c r="B20" s="11" t="s">
        <v>704</v>
      </c>
      <c r="C20" s="11" t="s">
        <v>705</v>
      </c>
      <c r="D20" s="11" t="s">
        <v>706</v>
      </c>
      <c r="E20" s="11" t="s">
        <v>707</v>
      </c>
      <c r="F20" s="12"/>
      <c r="G20" s="12"/>
      <c r="H20" s="45"/>
      <c r="I20" s="12"/>
      <c r="J20" s="12"/>
      <c r="K20" s="12"/>
      <c r="L20" s="12"/>
      <c r="M20" s="12"/>
      <c r="N20" s="12"/>
      <c r="O20" s="12"/>
      <c r="P20" s="12"/>
      <c r="Q20" s="12"/>
      <c r="R20" s="12"/>
      <c r="S20" s="12"/>
      <c r="T20" s="12"/>
      <c r="U20" s="12"/>
      <c r="V20" s="12"/>
      <c r="W20" s="12"/>
      <c r="X20" s="12"/>
      <c r="Y20" s="12"/>
      <c r="Z20" s="12"/>
    </row>
    <row r="21" spans="1:26" ht="13.5" customHeight="1" x14ac:dyDescent="0.25">
      <c r="A21" s="11" t="s">
        <v>708</v>
      </c>
      <c r="B21" s="11" t="s">
        <v>709</v>
      </c>
      <c r="C21" s="11" t="s">
        <v>710</v>
      </c>
      <c r="D21" s="11" t="s">
        <v>711</v>
      </c>
      <c r="E21" s="11" t="s">
        <v>67</v>
      </c>
      <c r="F21" s="12"/>
      <c r="G21" s="12"/>
      <c r="H21" s="47"/>
      <c r="I21" s="12"/>
      <c r="J21" s="12"/>
      <c r="K21" s="12"/>
      <c r="L21" s="12"/>
      <c r="M21" s="12"/>
      <c r="N21" s="12"/>
      <c r="O21" s="12"/>
      <c r="P21" s="12"/>
      <c r="Q21" s="12"/>
      <c r="R21" s="12"/>
      <c r="S21" s="12"/>
      <c r="T21" s="12"/>
      <c r="U21" s="12"/>
      <c r="V21" s="12"/>
      <c r="W21" s="12"/>
      <c r="X21" s="12"/>
      <c r="Y21" s="12"/>
      <c r="Z21" s="12"/>
    </row>
    <row r="22" spans="1:26" ht="13.5" customHeight="1" x14ac:dyDescent="0.25">
      <c r="A22" s="12"/>
      <c r="B22" s="12"/>
      <c r="C22" s="12"/>
      <c r="D22" s="12"/>
      <c r="E22" s="12"/>
      <c r="F22" s="12"/>
      <c r="G22" s="12"/>
      <c r="H22" s="47"/>
      <c r="I22" s="12"/>
      <c r="J22" s="12"/>
      <c r="K22" s="12"/>
      <c r="L22" s="12"/>
      <c r="M22" s="12"/>
      <c r="N22" s="12"/>
      <c r="O22" s="12"/>
      <c r="P22" s="12"/>
      <c r="Q22" s="12"/>
      <c r="R22" s="12"/>
      <c r="S22" s="12"/>
      <c r="T22" s="12"/>
      <c r="U22" s="12"/>
      <c r="V22" s="12"/>
      <c r="W22" s="12"/>
      <c r="X22" s="12"/>
      <c r="Y22" s="12"/>
      <c r="Z22" s="12"/>
    </row>
    <row r="23" spans="1:26" ht="13.5" customHeight="1" x14ac:dyDescent="0.25">
      <c r="A23" s="12"/>
      <c r="B23" s="12"/>
      <c r="C23" s="12"/>
      <c r="D23" s="12"/>
      <c r="E23" s="12"/>
      <c r="F23" s="12"/>
      <c r="G23" s="12"/>
      <c r="H23" s="45"/>
      <c r="I23" s="12"/>
      <c r="J23" s="12"/>
      <c r="K23" s="12"/>
      <c r="L23" s="12"/>
      <c r="M23" s="12"/>
      <c r="N23" s="12"/>
      <c r="O23" s="12"/>
      <c r="P23" s="12"/>
      <c r="Q23" s="12"/>
      <c r="R23" s="12"/>
      <c r="S23" s="12"/>
      <c r="T23" s="12"/>
      <c r="U23" s="12"/>
      <c r="V23" s="12"/>
      <c r="W23" s="12"/>
      <c r="X23" s="12"/>
      <c r="Y23" s="12"/>
      <c r="Z23" s="12"/>
    </row>
    <row r="24" spans="1:26" ht="13.5" customHeight="1" x14ac:dyDescent="0.25">
      <c r="A24" s="12"/>
      <c r="B24" s="12"/>
      <c r="C24" s="12"/>
      <c r="D24" s="12"/>
      <c r="E24" s="12"/>
      <c r="F24" s="12"/>
      <c r="G24" s="12"/>
      <c r="H24" s="47"/>
      <c r="I24" s="12"/>
      <c r="J24" s="12"/>
      <c r="K24" s="12"/>
      <c r="L24" s="12"/>
      <c r="M24" s="12"/>
      <c r="N24" s="12"/>
      <c r="O24" s="12"/>
      <c r="P24" s="12"/>
      <c r="Q24" s="12"/>
      <c r="R24" s="12"/>
      <c r="S24" s="12"/>
      <c r="T24" s="12"/>
      <c r="U24" s="12"/>
      <c r="V24" s="12"/>
      <c r="W24" s="12"/>
      <c r="X24" s="12"/>
      <c r="Y24" s="12"/>
      <c r="Z24" s="12"/>
    </row>
    <row r="25" spans="1:26" ht="13.5" customHeight="1" x14ac:dyDescent="0.25">
      <c r="A25" s="12"/>
      <c r="B25" s="12"/>
      <c r="C25" s="12"/>
      <c r="D25" s="12"/>
      <c r="E25" s="12"/>
      <c r="F25" s="12"/>
      <c r="G25" s="12"/>
      <c r="H25" s="47"/>
      <c r="I25" s="12"/>
      <c r="J25" s="12"/>
      <c r="K25" s="12"/>
      <c r="L25" s="12"/>
      <c r="M25" s="12"/>
      <c r="N25" s="12"/>
      <c r="O25" s="12"/>
      <c r="P25" s="12"/>
      <c r="Q25" s="12"/>
      <c r="R25" s="12"/>
      <c r="S25" s="12"/>
      <c r="T25" s="12"/>
      <c r="U25" s="12"/>
      <c r="V25" s="12"/>
      <c r="W25" s="12"/>
      <c r="X25" s="12"/>
      <c r="Y25" s="12"/>
      <c r="Z25" s="12"/>
    </row>
    <row r="26" spans="1:26" ht="13.5" customHeight="1" x14ac:dyDescent="0.25">
      <c r="A26" s="12"/>
      <c r="B26" s="12"/>
      <c r="C26" s="12"/>
      <c r="D26" s="12"/>
      <c r="E26" s="12"/>
      <c r="F26" s="12"/>
      <c r="G26" s="12"/>
      <c r="H26" s="47"/>
      <c r="I26" s="12"/>
      <c r="J26" s="12"/>
      <c r="K26" s="12"/>
      <c r="L26" s="12"/>
      <c r="M26" s="12"/>
      <c r="N26" s="12"/>
      <c r="O26" s="12"/>
      <c r="P26" s="12"/>
      <c r="Q26" s="12"/>
      <c r="R26" s="12"/>
      <c r="S26" s="12"/>
      <c r="T26" s="12"/>
      <c r="U26" s="12"/>
      <c r="V26" s="12"/>
      <c r="W26" s="12"/>
      <c r="X26" s="12"/>
      <c r="Y26" s="12"/>
      <c r="Z26" s="12"/>
    </row>
    <row r="27" spans="1:26" ht="13.5" customHeight="1" x14ac:dyDescent="0.25">
      <c r="A27" s="12"/>
      <c r="B27" s="12"/>
      <c r="C27" s="12"/>
      <c r="D27" s="12"/>
      <c r="E27" s="12"/>
      <c r="F27" s="12"/>
      <c r="G27" s="12"/>
      <c r="H27" s="47"/>
      <c r="I27" s="12"/>
      <c r="J27" s="12"/>
      <c r="K27" s="12"/>
      <c r="L27" s="12"/>
      <c r="M27" s="12"/>
      <c r="N27" s="12"/>
      <c r="O27" s="12"/>
      <c r="P27" s="12"/>
      <c r="Q27" s="12"/>
      <c r="R27" s="12"/>
      <c r="S27" s="12"/>
      <c r="T27" s="12"/>
      <c r="U27" s="12"/>
      <c r="V27" s="12"/>
      <c r="W27" s="12"/>
      <c r="X27" s="12"/>
      <c r="Y27" s="12"/>
      <c r="Z27" s="12"/>
    </row>
    <row r="28" spans="1:26" ht="13.5" customHeight="1" x14ac:dyDescent="0.25">
      <c r="A28" s="12"/>
      <c r="B28" s="12"/>
      <c r="C28" s="12"/>
      <c r="D28" s="12"/>
      <c r="E28" s="12"/>
      <c r="F28" s="12"/>
      <c r="G28" s="12"/>
      <c r="H28" s="47"/>
      <c r="I28" s="12"/>
      <c r="J28" s="12"/>
      <c r="K28" s="12"/>
      <c r="L28" s="12"/>
      <c r="M28" s="12"/>
      <c r="N28" s="12"/>
      <c r="O28" s="12"/>
      <c r="P28" s="12"/>
      <c r="Q28" s="12"/>
      <c r="R28" s="12"/>
      <c r="S28" s="12"/>
      <c r="T28" s="12"/>
      <c r="U28" s="12"/>
      <c r="V28" s="12"/>
      <c r="W28" s="12"/>
      <c r="X28" s="12"/>
      <c r="Y28" s="12"/>
      <c r="Z28" s="12"/>
    </row>
    <row r="29" spans="1:26" ht="13.5" customHeight="1" x14ac:dyDescent="0.25">
      <c r="A29" s="12"/>
      <c r="B29" s="12"/>
      <c r="C29" s="12"/>
      <c r="D29" s="12"/>
      <c r="E29" s="12"/>
      <c r="F29" s="12"/>
      <c r="G29" s="12"/>
      <c r="H29" s="45"/>
      <c r="I29" s="12"/>
      <c r="J29" s="12"/>
      <c r="K29" s="12"/>
      <c r="L29" s="12"/>
      <c r="M29" s="12"/>
      <c r="N29" s="12"/>
      <c r="O29" s="12"/>
      <c r="P29" s="12"/>
      <c r="Q29" s="12"/>
      <c r="R29" s="12"/>
      <c r="S29" s="12"/>
      <c r="T29" s="12"/>
      <c r="U29" s="12"/>
      <c r="V29" s="12"/>
      <c r="W29" s="12"/>
      <c r="X29" s="12"/>
      <c r="Y29" s="12"/>
      <c r="Z29" s="12"/>
    </row>
    <row r="30" spans="1:26" ht="13.5" customHeight="1" x14ac:dyDescent="0.25">
      <c r="A30" s="12"/>
      <c r="B30" s="12"/>
      <c r="C30" s="12"/>
      <c r="D30" s="12"/>
      <c r="E30" s="12"/>
      <c r="F30" s="12"/>
      <c r="G30" s="12"/>
      <c r="H30" s="47"/>
      <c r="I30" s="12"/>
      <c r="J30" s="12"/>
      <c r="K30" s="12"/>
      <c r="L30" s="12"/>
      <c r="M30" s="12"/>
      <c r="N30" s="12"/>
      <c r="O30" s="12"/>
      <c r="P30" s="12"/>
      <c r="Q30" s="12"/>
      <c r="R30" s="12"/>
      <c r="S30" s="12"/>
      <c r="T30" s="12"/>
      <c r="U30" s="12"/>
      <c r="V30" s="12"/>
      <c r="W30" s="12"/>
      <c r="X30" s="12"/>
      <c r="Y30" s="12"/>
      <c r="Z30" s="12"/>
    </row>
    <row r="31" spans="1:26" ht="13.5" customHeight="1" x14ac:dyDescent="0.25">
      <c r="A31" s="12"/>
      <c r="B31" s="12"/>
      <c r="C31" s="12"/>
      <c r="D31" s="12"/>
      <c r="E31" s="12"/>
      <c r="F31" s="12"/>
      <c r="G31" s="12"/>
      <c r="H31" s="47"/>
      <c r="I31" s="12"/>
      <c r="J31" s="12"/>
      <c r="K31" s="12"/>
      <c r="L31" s="12"/>
      <c r="M31" s="12"/>
      <c r="N31" s="12"/>
      <c r="O31" s="12"/>
      <c r="P31" s="12"/>
      <c r="Q31" s="12"/>
      <c r="R31" s="12"/>
      <c r="S31" s="12"/>
      <c r="T31" s="12"/>
      <c r="U31" s="12"/>
      <c r="V31" s="12"/>
      <c r="W31" s="12"/>
      <c r="X31" s="12"/>
      <c r="Y31" s="12"/>
      <c r="Z31" s="12"/>
    </row>
    <row r="32" spans="1:26" ht="13.5" customHeight="1" x14ac:dyDescent="0.25">
      <c r="A32" s="12"/>
      <c r="B32" s="12"/>
      <c r="C32" s="12"/>
      <c r="D32" s="12"/>
      <c r="E32" s="12"/>
      <c r="F32" s="12"/>
      <c r="G32" s="12"/>
      <c r="H32" s="47"/>
      <c r="I32" s="12"/>
      <c r="J32" s="12"/>
      <c r="K32" s="12"/>
      <c r="L32" s="12"/>
      <c r="M32" s="12"/>
      <c r="N32" s="12"/>
      <c r="O32" s="12"/>
      <c r="P32" s="12"/>
      <c r="Q32" s="12"/>
      <c r="R32" s="12"/>
      <c r="S32" s="12"/>
      <c r="T32" s="12"/>
      <c r="U32" s="12"/>
      <c r="V32" s="12"/>
      <c r="W32" s="12"/>
      <c r="X32" s="12"/>
      <c r="Y32" s="12"/>
      <c r="Z32" s="12"/>
    </row>
    <row r="33" spans="1:26" ht="13.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3.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3.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3.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3.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3.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3.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3.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3.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3.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3.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3.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3.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3.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3.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3.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3.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3.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3.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3.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3.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3.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3.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3.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3.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3.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3.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3.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3.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3.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3.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3.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3.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3.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3.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3.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3.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3.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3.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3.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3.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3.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3.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3.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3.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3.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3.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3.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3.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3.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3.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3.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3.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3.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3.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3.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3.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3.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3.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3.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3.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3.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3.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3.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3.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3.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3.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3.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3.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3.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3.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3.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3.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3.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3.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3.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3.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3.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3.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3.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3.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3.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3.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3.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3.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3.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3.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3.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3.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3.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3.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3.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3.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3.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3.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3.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3.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3.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3.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3.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3.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3.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3.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3.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3.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3.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3.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3.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3.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3.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3.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3.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3.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3.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3.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3.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3.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3.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3.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3.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3.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3.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3.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3.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3.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3.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3.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3.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3.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3.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3.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3.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3.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3.5"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3.5"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3.5"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3.5"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3.5"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3.5"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3.5"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3.5"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3.5"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3.5"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3.5"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3.5"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3.5"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3.5"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3.5"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3.5"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3.5"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3.5"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3.5"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3.5"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3.5"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3.5"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3.5"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3.5"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3.5"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3.5"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3.5"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3.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3.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3.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3.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3.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3.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3.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3.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3.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3.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3.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3.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3.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3.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3.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3.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3.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3.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3.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3.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3.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3.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3.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3.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3.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3.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3.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3.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3.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3.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3.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3.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3.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3.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3.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3.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3.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3.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3.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3.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3.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3.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3.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3.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3.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3.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3.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3.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3.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3.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3.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3.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3.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3.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3.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3.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3.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3.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3.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3.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3.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3.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3.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3.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3.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3.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3.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3.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3.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3.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3.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3.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3.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3.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3.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3.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3.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3.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3.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3.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3.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3.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3.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3.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3.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3.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3.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3.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3.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3.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3.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3.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3.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3.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3.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3.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3.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3.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3.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3.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3.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3.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3.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3.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3.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3.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3.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3.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3.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3.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3.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3.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3.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3.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3.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3.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3.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3.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3.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3.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3.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3.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3.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3.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3.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3.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3.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3.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3.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3.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3.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3.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3.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3.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3.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3.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3.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3.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3.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3.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3.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3.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3.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3.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3.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3.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3.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3.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3.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3.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3.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3.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3.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3.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3.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3.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3.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3.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3.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3.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3.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3.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3.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3.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3.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3.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3.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3.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3.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3.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3.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3.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3.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3.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3.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3.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3.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3.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3.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3.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3.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3.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3.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3.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3.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3.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3.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3.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3.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3.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3.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3.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3.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3.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3.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3.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3.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3.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3.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3.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3.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3.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3.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3.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3.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3.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3.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3.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3.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3.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3.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3.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3.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3.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3.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3.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3.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3.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3.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3.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3.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3.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3.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3.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3.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3.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3.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3.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3.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3.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3.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3.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3.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3.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3.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3.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3.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3.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3.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3.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3.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3.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3.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3.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3.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3.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3.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3.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3.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3.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3.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3.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3.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3.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3.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3.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3.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3.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3.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3.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3.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3.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3.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3.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3.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3.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3.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3.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3.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3.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3.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3.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3.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3.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3.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3.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3.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3.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3.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3.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3.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3.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3.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3.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3.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3.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3.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3.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3.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3.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3.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3.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3.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3.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3.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3.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3.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3.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3.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3.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3.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3.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3.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3.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3.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3.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3.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3.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3.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3.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3.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3.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3.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3.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3.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3.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3.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3.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3.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3.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3.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3.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3.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3.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3.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3.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3.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3.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3.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3.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3.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3.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3.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3.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3.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3.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3.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3.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3.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3.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3.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3.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3.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3.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3.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3.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3.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3.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3.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3.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3.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3.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3.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3.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3.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3.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3.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3.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3.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3.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3.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3.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3.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3.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3.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3.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3.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3.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3.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3.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3.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3.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3.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3.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3.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3.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3.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3.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3.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3.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3.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3.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3.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3.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3.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3.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3.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3.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3.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3.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3.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3.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3.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3.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3.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3.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3.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3.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3.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3.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3.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3.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3.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3.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3.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3.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3.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3.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3.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3.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3.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3.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3.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3.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3.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3.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3.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3.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3.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3.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3.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3.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3.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3.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3.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3.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3.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3.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3.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3.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3.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3.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3.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3.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3.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3.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3.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3.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3.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3.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3.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3.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3.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3.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3.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3.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3.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3.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3.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3.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3.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3.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3.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3.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3.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3.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3.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3.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3.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3.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3.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3.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3.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3.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3.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3.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3.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3.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3.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3.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3.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3.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3.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3.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3.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3.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3.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3.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3.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3.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3.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3.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3.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3.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3.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3.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3.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3.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3.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3.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3.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3.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3.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3.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3.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3.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3.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3.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3.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3.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3.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3.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3.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3.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3.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3.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3.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3.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3.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3.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3.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3.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3.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3.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3.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3.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3.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3.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3.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3.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3.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3.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3.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3.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3.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3.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3.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3.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3.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3.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3.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3.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3.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3.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3.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3.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3.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3.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3.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3.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3.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3.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3.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3.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3.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3.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3.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3.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3.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3.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3.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3.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3.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3.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3.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3.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3.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3.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3.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3.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3.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3.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3.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3.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3.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3.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3.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3.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3.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3.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3.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3.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3.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3.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3.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3.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3.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3.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3.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3.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3.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3.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3.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3.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3.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3.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3.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3.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3.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3.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3.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3.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3.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3.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3.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3.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3.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3.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3.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3.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3.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3.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3.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3.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3.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3.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3.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3.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3.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3.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3.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3.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3.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3.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3.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3.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3.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3.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3.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3.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3.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3.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3.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3.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3.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3.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3.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3.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3.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3.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3.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3.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3.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3.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3.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3.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3.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3.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3.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3.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3.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3.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3.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3.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3.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3.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3.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3.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3.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3.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3.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3.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3.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3.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3.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3.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3.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3.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3.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3.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3.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3.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3.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3.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3.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3.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3.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3.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3.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3.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3.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3.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3.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3.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3.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3.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3.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3.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3.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3.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3.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3.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3.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3.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3.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3.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3.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3.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3.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3.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3.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3.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3.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3.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3.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3.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3.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3.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3.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3.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3.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3.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3.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3.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3.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3.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3.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3.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3.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3.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3.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3.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3.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3.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3.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3.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3.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3.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3.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3.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3.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3.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3.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3.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3.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3.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3.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3.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3.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3.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3.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3.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3.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3.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3.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3.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3.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3.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3.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3.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3.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3.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3.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3.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3.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3.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3.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3.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3.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3.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3.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C16" sqref="C16"/>
    </sheetView>
  </sheetViews>
  <sheetFormatPr baseColWidth="10" defaultColWidth="12.625" defaultRowHeight="15" customHeight="1" x14ac:dyDescent="0.2"/>
  <cols>
    <col min="1" max="1" width="10.125" customWidth="1"/>
    <col min="2" max="2" width="13.5" customWidth="1"/>
    <col min="3" max="3" width="25.625" customWidth="1"/>
    <col min="4" max="4" width="10.5" customWidth="1"/>
    <col min="5" max="9" width="10.25" customWidth="1"/>
    <col min="10" max="10" width="10.5" customWidth="1"/>
    <col min="11" max="16" width="10.25" customWidth="1"/>
    <col min="17" max="26" width="9.375" customWidth="1"/>
  </cols>
  <sheetData>
    <row r="1" spans="1:26" ht="13.5" customHeight="1" x14ac:dyDescent="0.25">
      <c r="A1" s="12" t="s">
        <v>834</v>
      </c>
      <c r="B1" s="12"/>
      <c r="C1" s="12"/>
      <c r="D1" s="12"/>
      <c r="E1" s="12"/>
      <c r="F1" s="12"/>
      <c r="G1" s="12"/>
      <c r="H1" s="12"/>
      <c r="I1" s="12"/>
      <c r="J1" s="12"/>
      <c r="K1" s="12"/>
      <c r="L1" s="12"/>
      <c r="M1" s="12"/>
      <c r="N1" s="12"/>
      <c r="O1" s="12"/>
      <c r="P1" s="12"/>
      <c r="Q1" s="12"/>
      <c r="R1" s="12"/>
      <c r="S1" s="12"/>
      <c r="T1" s="12"/>
      <c r="U1" s="12"/>
      <c r="V1" s="12"/>
      <c r="W1" s="12"/>
      <c r="X1" s="12"/>
      <c r="Y1" s="12"/>
      <c r="Z1" s="12"/>
    </row>
    <row r="2" spans="1:26" ht="13.5" customHeight="1" x14ac:dyDescent="0.25">
      <c r="A2" s="60" t="s">
        <v>712</v>
      </c>
      <c r="B2" s="61" t="s">
        <v>713</v>
      </c>
      <c r="C2" s="61" t="s">
        <v>568</v>
      </c>
      <c r="D2" s="61" t="s">
        <v>714</v>
      </c>
      <c r="E2" s="61" t="s">
        <v>715</v>
      </c>
      <c r="F2" s="61" t="s">
        <v>716</v>
      </c>
      <c r="G2" s="61" t="s">
        <v>717</v>
      </c>
      <c r="H2" s="61" t="s">
        <v>718</v>
      </c>
      <c r="I2" s="61" t="s">
        <v>719</v>
      </c>
      <c r="J2" s="61" t="s">
        <v>720</v>
      </c>
      <c r="K2" s="61" t="s">
        <v>721</v>
      </c>
      <c r="L2" s="61" t="s">
        <v>722</v>
      </c>
      <c r="M2" s="61" t="s">
        <v>723</v>
      </c>
      <c r="N2" s="61" t="s">
        <v>724</v>
      </c>
      <c r="O2" s="61" t="s">
        <v>725</v>
      </c>
      <c r="P2" s="62" t="s">
        <v>726</v>
      </c>
      <c r="Q2" s="12"/>
      <c r="R2" s="12"/>
      <c r="S2" s="12"/>
      <c r="T2" s="12"/>
      <c r="U2" s="12"/>
      <c r="V2" s="12"/>
      <c r="W2" s="12"/>
      <c r="X2" s="12"/>
      <c r="Y2" s="12"/>
      <c r="Z2" s="12"/>
    </row>
    <row r="3" spans="1:26" ht="13.5" customHeight="1" x14ac:dyDescent="0.25">
      <c r="A3" s="48" t="s">
        <v>727</v>
      </c>
      <c r="B3" s="49" t="s">
        <v>728</v>
      </c>
      <c r="C3" s="49" t="s">
        <v>729</v>
      </c>
      <c r="D3" s="49">
        <v>12535000000</v>
      </c>
      <c r="E3" s="49">
        <v>25.322475922971719</v>
      </c>
      <c r="F3" s="49">
        <v>4305800000</v>
      </c>
      <c r="G3" s="49">
        <v>14.559038267896835</v>
      </c>
      <c r="H3" s="49">
        <v>4456100000</v>
      </c>
      <c r="I3" s="49">
        <v>21.746119238098867</v>
      </c>
      <c r="J3" s="49">
        <v>18217000000</v>
      </c>
      <c r="K3" s="49">
        <v>39.224666175417752</v>
      </c>
      <c r="L3" s="49">
        <v>8067700000</v>
      </c>
      <c r="M3" s="49">
        <v>36.533469384661025</v>
      </c>
      <c r="N3" s="49">
        <v>9881400000</v>
      </c>
      <c r="O3" s="49">
        <v>33.636117392235057</v>
      </c>
      <c r="P3" s="50">
        <f t="shared" ref="P3:P37" si="0">AVERAGE(E3,G3,I3,K3,M3,O3)</f>
        <v>28.503647730213544</v>
      </c>
      <c r="Q3" s="12"/>
      <c r="R3" s="12"/>
      <c r="S3" s="12"/>
      <c r="T3" s="12"/>
      <c r="U3" s="12"/>
      <c r="V3" s="12"/>
      <c r="W3" s="12"/>
      <c r="X3" s="12"/>
      <c r="Y3" s="12"/>
      <c r="Z3" s="12"/>
    </row>
    <row r="4" spans="1:26" ht="13.5" customHeight="1" x14ac:dyDescent="0.25">
      <c r="A4" s="48" t="s">
        <v>730</v>
      </c>
      <c r="B4" s="49" t="s">
        <v>731</v>
      </c>
      <c r="C4" s="49" t="s">
        <v>732</v>
      </c>
      <c r="D4" s="49">
        <v>4999300000</v>
      </c>
      <c r="E4" s="49">
        <v>10.099294286534706</v>
      </c>
      <c r="F4" s="49">
        <v>4308100000</v>
      </c>
      <c r="G4" s="49">
        <v>14.566815170682881</v>
      </c>
      <c r="H4" s="49">
        <v>1872000000</v>
      </c>
      <c r="I4" s="49">
        <v>9.135507554525498</v>
      </c>
      <c r="J4" s="49">
        <v>4587100000</v>
      </c>
      <c r="K4" s="49">
        <v>9.8768988424690551</v>
      </c>
      <c r="L4" s="49">
        <v>1548100000</v>
      </c>
      <c r="M4" s="49">
        <v>7.0103578410691689</v>
      </c>
      <c r="N4" s="49">
        <v>1350900000</v>
      </c>
      <c r="O4" s="49">
        <v>4.5984406040814401</v>
      </c>
      <c r="P4" s="50">
        <f t="shared" si="0"/>
        <v>9.2145523832271241</v>
      </c>
      <c r="Q4" s="12"/>
      <c r="R4" s="12"/>
      <c r="S4" s="12"/>
      <c r="T4" s="12"/>
      <c r="U4" s="12"/>
      <c r="V4" s="12"/>
      <c r="W4" s="12"/>
      <c r="X4" s="12"/>
      <c r="Y4" s="12"/>
      <c r="Z4" s="12"/>
    </row>
    <row r="5" spans="1:26" ht="13.5" customHeight="1" x14ac:dyDescent="0.25">
      <c r="A5" s="48" t="s">
        <v>733</v>
      </c>
      <c r="B5" s="49" t="s">
        <v>734</v>
      </c>
      <c r="C5" s="49" t="s">
        <v>735</v>
      </c>
      <c r="D5" s="49">
        <v>2297100000</v>
      </c>
      <c r="E5" s="49">
        <v>4.640467446562293</v>
      </c>
      <c r="F5" s="49">
        <v>1376100000</v>
      </c>
      <c r="G5" s="49">
        <v>4.6529547495129435</v>
      </c>
      <c r="H5" s="49">
        <v>1181100000</v>
      </c>
      <c r="I5" s="49">
        <v>5.7638610965011043</v>
      </c>
      <c r="J5" s="49">
        <v>3365800000</v>
      </c>
      <c r="K5" s="49">
        <v>7.2472076309612499</v>
      </c>
      <c r="L5" s="49">
        <v>2453600000</v>
      </c>
      <c r="M5" s="49">
        <v>11.110789999901373</v>
      </c>
      <c r="N5" s="49">
        <v>909030000</v>
      </c>
      <c r="O5" s="49">
        <v>3.094322645886558</v>
      </c>
      <c r="P5" s="50">
        <f t="shared" si="0"/>
        <v>6.0849339282209201</v>
      </c>
      <c r="Q5" s="12"/>
      <c r="R5" s="12"/>
      <c r="S5" s="12"/>
      <c r="T5" s="12"/>
      <c r="U5" s="12"/>
      <c r="V5" s="12"/>
      <c r="W5" s="12"/>
      <c r="X5" s="12"/>
      <c r="Y5" s="12"/>
      <c r="Z5" s="12"/>
    </row>
    <row r="6" spans="1:26" ht="13.5" customHeight="1" x14ac:dyDescent="0.25">
      <c r="A6" s="48" t="s">
        <v>736</v>
      </c>
      <c r="B6" s="49" t="s">
        <v>737</v>
      </c>
      <c r="C6" s="49" t="s">
        <v>738</v>
      </c>
      <c r="D6" s="49">
        <v>2020500000</v>
      </c>
      <c r="E6" s="49">
        <v>4.0816962586648877</v>
      </c>
      <c r="F6" s="49">
        <v>901780000</v>
      </c>
      <c r="G6" s="49">
        <v>3.0491545193051248</v>
      </c>
      <c r="H6" s="49">
        <v>1967000000</v>
      </c>
      <c r="I6" s="49">
        <v>9.5991150426023815</v>
      </c>
      <c r="J6" s="49">
        <v>4691100000</v>
      </c>
      <c r="K6" s="49">
        <v>10.100830624993261</v>
      </c>
      <c r="L6" s="49">
        <v>1289800000</v>
      </c>
      <c r="M6" s="49">
        <v>5.8406818315425459</v>
      </c>
      <c r="N6" s="49">
        <v>1062800000</v>
      </c>
      <c r="O6" s="49">
        <v>3.6177531083113141</v>
      </c>
      <c r="P6" s="50">
        <f t="shared" si="0"/>
        <v>6.0482052309032523</v>
      </c>
      <c r="Q6" s="12"/>
      <c r="R6" s="12"/>
      <c r="S6" s="12"/>
      <c r="T6" s="12"/>
      <c r="U6" s="12"/>
      <c r="V6" s="12"/>
      <c r="W6" s="12"/>
      <c r="X6" s="12"/>
      <c r="Y6" s="12"/>
      <c r="Z6" s="12"/>
    </row>
    <row r="7" spans="1:26" ht="13.5" customHeight="1" x14ac:dyDescent="0.25">
      <c r="A7" s="48" t="s">
        <v>739</v>
      </c>
      <c r="B7" s="49" t="s">
        <v>740</v>
      </c>
      <c r="C7" s="49" t="s">
        <v>741</v>
      </c>
      <c r="D7" s="49">
        <v>2788000000</v>
      </c>
      <c r="E7" s="49">
        <v>5.6321549958711739</v>
      </c>
      <c r="F7" s="49">
        <v>2390600000</v>
      </c>
      <c r="G7" s="49">
        <v>8.0832451305760067</v>
      </c>
      <c r="H7" s="49">
        <v>3449000000</v>
      </c>
      <c r="I7" s="49">
        <v>16.831391856601734</v>
      </c>
      <c r="J7" s="49">
        <v>873140000</v>
      </c>
      <c r="K7" s="49">
        <v>1.8800365057036976</v>
      </c>
      <c r="L7" s="49">
        <v>548980000</v>
      </c>
      <c r="M7" s="49">
        <v>2.4859803937666509</v>
      </c>
      <c r="N7" s="49">
        <v>1072200000</v>
      </c>
      <c r="O7" s="49">
        <v>3.6497505482982597</v>
      </c>
      <c r="P7" s="50">
        <f t="shared" si="0"/>
        <v>6.4270932384695874</v>
      </c>
      <c r="Q7" s="12"/>
      <c r="R7" s="12"/>
      <c r="S7" s="12"/>
      <c r="T7" s="12"/>
      <c r="U7" s="12"/>
      <c r="V7" s="12"/>
      <c r="W7" s="12"/>
      <c r="X7" s="12"/>
      <c r="Y7" s="12"/>
      <c r="Z7" s="12"/>
    </row>
    <row r="8" spans="1:26" ht="13.5" customHeight="1" x14ac:dyDescent="0.25">
      <c r="A8" s="48" t="s">
        <v>742</v>
      </c>
      <c r="B8" s="49" t="s">
        <v>743</v>
      </c>
      <c r="C8" s="49" t="s">
        <v>744</v>
      </c>
      <c r="D8" s="49">
        <v>6506900000</v>
      </c>
      <c r="E8" s="49">
        <v>13.144859878993595</v>
      </c>
      <c r="F8" s="49">
        <v>5346000000</v>
      </c>
      <c r="G8" s="49">
        <v>18.076227084438774</v>
      </c>
      <c r="H8" s="49">
        <v>1063800000</v>
      </c>
      <c r="I8" s="49">
        <v>5.1914278506967015</v>
      </c>
      <c r="J8" s="49">
        <v>885000000</v>
      </c>
      <c r="K8" s="49">
        <v>1.9055733416723235</v>
      </c>
      <c r="L8" s="49">
        <v>514460000</v>
      </c>
      <c r="M8" s="49">
        <v>2.3296613235039372</v>
      </c>
      <c r="N8" s="49">
        <v>463830000</v>
      </c>
      <c r="O8" s="49">
        <v>1.5788694243771515</v>
      </c>
      <c r="P8" s="50">
        <f t="shared" si="0"/>
        <v>7.0377698172804131</v>
      </c>
      <c r="Q8" s="12"/>
      <c r="R8" s="12"/>
      <c r="S8" s="12"/>
      <c r="T8" s="12"/>
      <c r="U8" s="12"/>
      <c r="V8" s="12"/>
      <c r="W8" s="12"/>
      <c r="X8" s="12"/>
      <c r="Y8" s="12"/>
      <c r="Z8" s="12"/>
    </row>
    <row r="9" spans="1:26" ht="13.5" customHeight="1" x14ac:dyDescent="0.25">
      <c r="A9" s="48" t="s">
        <v>745</v>
      </c>
      <c r="B9" s="49" t="s">
        <v>746</v>
      </c>
      <c r="C9" s="49" t="s">
        <v>747</v>
      </c>
      <c r="D9" s="49">
        <v>1555800000</v>
      </c>
      <c r="E9" s="49">
        <v>3.1429364212971205</v>
      </c>
      <c r="F9" s="49">
        <v>1348900000</v>
      </c>
      <c r="G9" s="49">
        <v>4.5609844209127317</v>
      </c>
      <c r="H9" s="49">
        <v>1290900000</v>
      </c>
      <c r="I9" s="49">
        <v>6.2996937511415414</v>
      </c>
      <c r="J9" s="49">
        <v>279580000</v>
      </c>
      <c r="K9" s="49">
        <v>0.60198892075112787</v>
      </c>
      <c r="L9" s="49">
        <v>1333300000</v>
      </c>
      <c r="M9" s="49">
        <v>6.0376655962131149</v>
      </c>
      <c r="N9" s="49">
        <v>2629600000</v>
      </c>
      <c r="O9" s="49">
        <v>8.9511136371993132</v>
      </c>
      <c r="P9" s="50">
        <f t="shared" si="0"/>
        <v>4.9323971245858251</v>
      </c>
      <c r="Q9" s="12"/>
      <c r="R9" s="12"/>
      <c r="S9" s="12"/>
      <c r="T9" s="12"/>
      <c r="U9" s="12"/>
      <c r="V9" s="12"/>
      <c r="W9" s="12"/>
      <c r="X9" s="12"/>
      <c r="Y9" s="12"/>
      <c r="Z9" s="12"/>
    </row>
    <row r="10" spans="1:26" ht="13.5" customHeight="1" x14ac:dyDescent="0.25">
      <c r="A10" s="48" t="s">
        <v>748</v>
      </c>
      <c r="B10" s="49" t="s">
        <v>749</v>
      </c>
      <c r="C10" s="49" t="s">
        <v>750</v>
      </c>
      <c r="D10" s="49">
        <v>1122300000</v>
      </c>
      <c r="E10" s="49">
        <v>2.267205004256176</v>
      </c>
      <c r="F10" s="49">
        <v>854010000</v>
      </c>
      <c r="G10" s="49">
        <v>2.8876316297010018</v>
      </c>
      <c r="H10" s="49">
        <v>476290000</v>
      </c>
      <c r="I10" s="49">
        <v>2.3243327420646098</v>
      </c>
      <c r="J10" s="49">
        <v>813200000</v>
      </c>
      <c r="K10" s="49">
        <v>1.7509742841219584</v>
      </c>
      <c r="L10" s="49">
        <v>1011600000</v>
      </c>
      <c r="M10" s="49">
        <v>4.5808914101321436</v>
      </c>
      <c r="N10" s="49">
        <v>766420000</v>
      </c>
      <c r="O10" s="49">
        <v>2.608880633488857</v>
      </c>
      <c r="P10" s="50">
        <f t="shared" si="0"/>
        <v>2.7366526172941241</v>
      </c>
      <c r="Q10" s="12"/>
      <c r="R10" s="12"/>
      <c r="S10" s="12"/>
      <c r="T10" s="12"/>
      <c r="U10" s="12"/>
      <c r="V10" s="12"/>
      <c r="W10" s="12"/>
      <c r="X10" s="12"/>
      <c r="Y10" s="12"/>
      <c r="Z10" s="12"/>
    </row>
    <row r="11" spans="1:26" ht="13.5" customHeight="1" x14ac:dyDescent="0.25">
      <c r="A11" s="48" t="s">
        <v>751</v>
      </c>
      <c r="B11" s="49" t="s">
        <v>752</v>
      </c>
      <c r="C11" s="49" t="s">
        <v>753</v>
      </c>
      <c r="D11" s="49">
        <v>2801600000</v>
      </c>
      <c r="E11" s="49">
        <v>5.6596289226803016</v>
      </c>
      <c r="F11" s="49">
        <v>574510000</v>
      </c>
      <c r="G11" s="49">
        <v>1.9425688780922035</v>
      </c>
      <c r="H11" s="49">
        <v>424580000</v>
      </c>
      <c r="I11" s="49">
        <v>2.0719838661861307</v>
      </c>
      <c r="J11" s="49">
        <v>826310000</v>
      </c>
      <c r="K11" s="49">
        <v>1.7792026078613077</v>
      </c>
      <c r="L11" s="49">
        <v>329590000</v>
      </c>
      <c r="M11" s="49">
        <v>1.4925029654660471</v>
      </c>
      <c r="N11" s="49">
        <v>898050000</v>
      </c>
      <c r="O11" s="49">
        <v>3.0569469127954227</v>
      </c>
      <c r="P11" s="50">
        <f t="shared" si="0"/>
        <v>2.6671390255135687</v>
      </c>
      <c r="Q11" s="12"/>
      <c r="R11" s="12"/>
      <c r="S11" s="12"/>
      <c r="T11" s="12"/>
      <c r="U11" s="12"/>
      <c r="V11" s="12"/>
      <c r="W11" s="12"/>
      <c r="X11" s="12"/>
      <c r="Y11" s="12"/>
      <c r="Z11" s="12"/>
    </row>
    <row r="12" spans="1:26" ht="13.5" customHeight="1" x14ac:dyDescent="0.25">
      <c r="A12" s="48" t="s">
        <v>754</v>
      </c>
      <c r="B12" s="49" t="s">
        <v>755</v>
      </c>
      <c r="C12" s="49" t="s">
        <v>756</v>
      </c>
      <c r="D12" s="49">
        <v>1084300000</v>
      </c>
      <c r="E12" s="49">
        <v>2.1904396205247898</v>
      </c>
      <c r="F12" s="49">
        <v>957680000</v>
      </c>
      <c r="G12" s="49">
        <v>3.2381670696268841</v>
      </c>
      <c r="H12" s="49">
        <v>357760000</v>
      </c>
      <c r="I12" s="49">
        <v>1.7458969993093174</v>
      </c>
      <c r="J12" s="49">
        <v>848810000</v>
      </c>
      <c r="K12" s="49">
        <v>1.8276493877343332</v>
      </c>
      <c r="L12" s="49">
        <v>247650000</v>
      </c>
      <c r="M12" s="49">
        <v>1.121448949900381</v>
      </c>
      <c r="N12" s="49">
        <v>844650000</v>
      </c>
      <c r="O12" s="49">
        <v>2.8751742218057501</v>
      </c>
      <c r="P12" s="50">
        <f t="shared" si="0"/>
        <v>2.1664627081502426</v>
      </c>
      <c r="Q12" s="12"/>
      <c r="R12" s="12"/>
      <c r="S12" s="12"/>
      <c r="T12" s="12"/>
      <c r="U12" s="12"/>
      <c r="V12" s="12"/>
      <c r="W12" s="12"/>
      <c r="X12" s="12"/>
      <c r="Y12" s="12"/>
      <c r="Z12" s="12"/>
    </row>
    <row r="13" spans="1:26" ht="13.5" customHeight="1" x14ac:dyDescent="0.25">
      <c r="A13" s="48" t="s">
        <v>757</v>
      </c>
      <c r="B13" s="49" t="s">
        <v>758</v>
      </c>
      <c r="C13" s="49" t="s">
        <v>759</v>
      </c>
      <c r="D13" s="49">
        <v>1531700000</v>
      </c>
      <c r="E13" s="49">
        <v>3.0942510068780047</v>
      </c>
      <c r="F13" s="49">
        <v>441430000</v>
      </c>
      <c r="G13" s="49">
        <v>1.4925905203673415</v>
      </c>
      <c r="H13" s="49">
        <v>347810000</v>
      </c>
      <c r="I13" s="49">
        <v>1.6973402150317916</v>
      </c>
      <c r="J13" s="49">
        <v>199230000</v>
      </c>
      <c r="K13" s="49">
        <v>0.42898008684901345</v>
      </c>
      <c r="L13" s="49">
        <v>312710000</v>
      </c>
      <c r="M13" s="49">
        <v>1.4160642080490538</v>
      </c>
      <c r="N13" s="49">
        <v>922240000</v>
      </c>
      <c r="O13" s="49">
        <v>3.1392892610171494</v>
      </c>
      <c r="P13" s="50">
        <f t="shared" si="0"/>
        <v>1.8780858830320588</v>
      </c>
      <c r="Q13" s="12"/>
      <c r="R13" s="12"/>
      <c r="S13" s="12"/>
      <c r="T13" s="12"/>
      <c r="U13" s="12"/>
      <c r="V13" s="12"/>
      <c r="W13" s="12"/>
      <c r="X13" s="12"/>
      <c r="Y13" s="12"/>
      <c r="Z13" s="12"/>
    </row>
    <row r="14" spans="1:26" ht="13.5" customHeight="1" x14ac:dyDescent="0.25">
      <c r="A14" s="48" t="s">
        <v>760</v>
      </c>
      <c r="B14" s="49" t="s">
        <v>761</v>
      </c>
      <c r="C14" s="49" t="s">
        <v>762</v>
      </c>
      <c r="D14" s="49">
        <v>511010000</v>
      </c>
      <c r="E14" s="49">
        <v>1.0323125984362012</v>
      </c>
      <c r="F14" s="49">
        <v>706440000</v>
      </c>
      <c r="G14" s="49">
        <v>2.3886587844240417</v>
      </c>
      <c r="H14" s="49">
        <v>409230000</v>
      </c>
      <c r="I14" s="49">
        <v>1.9970746562705501</v>
      </c>
      <c r="J14" s="49">
        <v>802990000</v>
      </c>
      <c r="K14" s="49">
        <v>1.7289902120106879</v>
      </c>
      <c r="L14" s="49">
        <v>283260000</v>
      </c>
      <c r="M14" s="49">
        <v>1.2827039351858749</v>
      </c>
      <c r="N14" s="49">
        <v>372390000</v>
      </c>
      <c r="O14" s="49">
        <v>1.267609220929667</v>
      </c>
      <c r="P14" s="50">
        <f t="shared" si="0"/>
        <v>1.616224901209504</v>
      </c>
      <c r="Q14" s="12"/>
      <c r="R14" s="12"/>
      <c r="S14" s="12"/>
      <c r="T14" s="12"/>
      <c r="U14" s="12"/>
      <c r="V14" s="12"/>
      <c r="W14" s="12"/>
      <c r="X14" s="12"/>
      <c r="Y14" s="12"/>
      <c r="Z14" s="12"/>
    </row>
    <row r="15" spans="1:26" ht="13.5" customHeight="1" x14ac:dyDescent="0.25">
      <c r="A15" s="48" t="s">
        <v>763</v>
      </c>
      <c r="B15" s="49" t="s">
        <v>764</v>
      </c>
      <c r="C15" s="49" t="s">
        <v>765</v>
      </c>
      <c r="D15" s="49">
        <v>405890000</v>
      </c>
      <c r="E15" s="49">
        <v>0.81995530533506122</v>
      </c>
      <c r="F15" s="49">
        <v>392160000</v>
      </c>
      <c r="G15" s="49">
        <v>1.3259957376418834</v>
      </c>
      <c r="H15" s="49">
        <v>298280000</v>
      </c>
      <c r="I15" s="49">
        <v>1.4556299109849711</v>
      </c>
      <c r="J15" s="49">
        <v>439640000</v>
      </c>
      <c r="K15" s="49">
        <v>0.94662854681674591</v>
      </c>
      <c r="L15" s="49">
        <v>694780000</v>
      </c>
      <c r="M15" s="49">
        <v>3.1462156325935262</v>
      </c>
      <c r="N15" s="49">
        <v>446220000</v>
      </c>
      <c r="O15" s="49">
        <v>1.5189252841462877</v>
      </c>
      <c r="P15" s="50">
        <f t="shared" si="0"/>
        <v>1.5355584029197462</v>
      </c>
      <c r="Q15" s="12"/>
      <c r="R15" s="12"/>
      <c r="S15" s="12"/>
      <c r="T15" s="12"/>
      <c r="U15" s="12"/>
      <c r="V15" s="12"/>
      <c r="W15" s="12"/>
      <c r="X15" s="12"/>
      <c r="Y15" s="12"/>
      <c r="Z15" s="12"/>
    </row>
    <row r="16" spans="1:26" ht="13.5" customHeight="1" x14ac:dyDescent="0.25">
      <c r="A16" s="48" t="s">
        <v>766</v>
      </c>
      <c r="B16" s="49" t="s">
        <v>767</v>
      </c>
      <c r="C16" s="49" t="s">
        <v>768</v>
      </c>
      <c r="D16" s="49">
        <v>757860000</v>
      </c>
      <c r="E16" s="49">
        <v>1.5309845714386399</v>
      </c>
      <c r="F16" s="49">
        <v>202310000</v>
      </c>
      <c r="G16" s="49">
        <v>0.68406313158488752</v>
      </c>
      <c r="H16" s="49">
        <v>318070000</v>
      </c>
      <c r="I16" s="49">
        <v>1.5522066708696183</v>
      </c>
      <c r="J16" s="49">
        <v>573040000</v>
      </c>
      <c r="K16" s="49">
        <v>1.2338641217083708</v>
      </c>
      <c r="L16" s="49">
        <v>157500000</v>
      </c>
      <c r="M16" s="49">
        <v>0.7132170789796487</v>
      </c>
      <c r="N16" s="49">
        <v>720910000</v>
      </c>
      <c r="O16" s="49">
        <v>2.4539653681903548</v>
      </c>
      <c r="P16" s="50">
        <f t="shared" si="0"/>
        <v>1.36138349046192</v>
      </c>
      <c r="Q16" s="12"/>
      <c r="R16" s="12"/>
      <c r="S16" s="12"/>
      <c r="T16" s="12"/>
      <c r="U16" s="12"/>
      <c r="V16" s="12"/>
      <c r="W16" s="12"/>
      <c r="X16" s="12"/>
      <c r="Y16" s="12"/>
      <c r="Z16" s="12"/>
    </row>
    <row r="17" spans="1:26" ht="13.5" customHeight="1" x14ac:dyDescent="0.25">
      <c r="A17" s="48" t="s">
        <v>769</v>
      </c>
      <c r="B17" s="49" t="s">
        <v>770</v>
      </c>
      <c r="C17" s="49" t="s">
        <v>771</v>
      </c>
      <c r="D17" s="49">
        <v>522550000</v>
      </c>
      <c r="E17" s="49">
        <v>1.0556250333904167</v>
      </c>
      <c r="F17" s="49">
        <v>194000000</v>
      </c>
      <c r="G17" s="49">
        <v>0.65596484369269026</v>
      </c>
      <c r="H17" s="49">
        <v>374970000</v>
      </c>
      <c r="I17" s="49">
        <v>1.8298831558335611</v>
      </c>
      <c r="J17" s="49">
        <v>433250000</v>
      </c>
      <c r="K17" s="49">
        <v>0.9328696613328068</v>
      </c>
      <c r="L17" s="49">
        <v>451170000</v>
      </c>
      <c r="M17" s="49">
        <v>2.0430612668142736</v>
      </c>
      <c r="N17" s="49">
        <v>296300000</v>
      </c>
      <c r="O17" s="49">
        <v>1.0086001561842701</v>
      </c>
      <c r="P17" s="50">
        <f t="shared" si="0"/>
        <v>1.2543340195413364</v>
      </c>
      <c r="Q17" s="12"/>
      <c r="R17" s="12"/>
      <c r="S17" s="12"/>
      <c r="T17" s="12"/>
      <c r="U17" s="12"/>
      <c r="V17" s="12"/>
      <c r="W17" s="12"/>
      <c r="X17" s="12"/>
      <c r="Y17" s="12"/>
      <c r="Z17" s="12"/>
    </row>
    <row r="18" spans="1:26" ht="13.5" customHeight="1" x14ac:dyDescent="0.25">
      <c r="A18" s="48" t="s">
        <v>772</v>
      </c>
      <c r="B18" s="49" t="s">
        <v>773</v>
      </c>
      <c r="C18" s="49" t="s">
        <v>774</v>
      </c>
      <c r="D18" s="49">
        <v>206260000</v>
      </c>
      <c r="E18" s="49">
        <v>0.41667442232725549</v>
      </c>
      <c r="F18" s="49">
        <v>71729000</v>
      </c>
      <c r="G18" s="49">
        <v>0.24253454780017</v>
      </c>
      <c r="H18" s="49">
        <v>189510000</v>
      </c>
      <c r="I18" s="49">
        <v>0.92482373753105096</v>
      </c>
      <c r="J18" s="49">
        <v>2592400000</v>
      </c>
      <c r="K18" s="49">
        <v>5.5819303174591308</v>
      </c>
      <c r="L18" s="49">
        <v>274310000</v>
      </c>
      <c r="M18" s="49">
        <v>1.2421750916502061</v>
      </c>
      <c r="N18" s="49">
        <v>972570000</v>
      </c>
      <c r="O18" s="49">
        <v>3.3106117242664048</v>
      </c>
      <c r="P18" s="50">
        <f t="shared" si="0"/>
        <v>1.9531249735057028</v>
      </c>
      <c r="Q18" s="12"/>
      <c r="R18" s="12"/>
      <c r="S18" s="12"/>
      <c r="T18" s="12"/>
      <c r="U18" s="12"/>
      <c r="V18" s="12"/>
      <c r="W18" s="12"/>
      <c r="X18" s="12"/>
      <c r="Y18" s="12"/>
      <c r="Z18" s="12"/>
    </row>
    <row r="19" spans="1:26" ht="13.5" customHeight="1" x14ac:dyDescent="0.25">
      <c r="A19" s="48" t="s">
        <v>775</v>
      </c>
      <c r="B19" s="49" t="s">
        <v>776</v>
      </c>
      <c r="C19" s="49" t="s">
        <v>777</v>
      </c>
      <c r="D19" s="49">
        <v>486470000</v>
      </c>
      <c r="E19" s="49">
        <v>0.98273832167914277</v>
      </c>
      <c r="F19" s="49">
        <v>482540000</v>
      </c>
      <c r="G19" s="49">
        <v>1.6315942045127361</v>
      </c>
      <c r="H19" s="49">
        <v>204740000</v>
      </c>
      <c r="I19" s="49">
        <v>0.99914733798800781</v>
      </c>
      <c r="J19" s="49">
        <v>301470000</v>
      </c>
      <c r="K19" s="49">
        <v>0.64912225459203987</v>
      </c>
      <c r="L19" s="49">
        <v>135460000</v>
      </c>
      <c r="M19" s="49">
        <v>0.61341197154656013</v>
      </c>
      <c r="N19" s="49">
        <v>431730000</v>
      </c>
      <c r="O19" s="49">
        <v>1.4696015708047079</v>
      </c>
      <c r="P19" s="50">
        <f t="shared" si="0"/>
        <v>1.0576026101871989</v>
      </c>
      <c r="Q19" s="12"/>
      <c r="R19" s="12"/>
      <c r="S19" s="12"/>
      <c r="T19" s="12"/>
      <c r="U19" s="12"/>
      <c r="V19" s="12"/>
      <c r="W19" s="12"/>
      <c r="X19" s="12"/>
      <c r="Y19" s="12"/>
      <c r="Z19" s="12"/>
    </row>
    <row r="20" spans="1:26" ht="13.5" customHeight="1" x14ac:dyDescent="0.25">
      <c r="A20" s="48" t="s">
        <v>778</v>
      </c>
      <c r="B20" s="49" t="s">
        <v>779</v>
      </c>
      <c r="C20" s="49" t="s">
        <v>780</v>
      </c>
      <c r="D20" s="49">
        <v>1293400000</v>
      </c>
      <c r="E20" s="49">
        <v>2.6128512452151278</v>
      </c>
      <c r="F20" s="49">
        <v>562790000</v>
      </c>
      <c r="G20" s="49">
        <v>1.9029404865041708</v>
      </c>
      <c r="H20" s="49">
        <v>194150000</v>
      </c>
      <c r="I20" s="49">
        <v>0.94746730326449013</v>
      </c>
      <c r="J20" s="49">
        <v>92905000</v>
      </c>
      <c r="K20" s="49">
        <v>0.20004213707126234</v>
      </c>
      <c r="L20" s="49">
        <v>113250000</v>
      </c>
      <c r="M20" s="49">
        <v>0.51283704250441409</v>
      </c>
      <c r="N20" s="49">
        <v>278650000</v>
      </c>
      <c r="O20" s="49">
        <v>0.94851985663431271</v>
      </c>
      <c r="P20" s="50">
        <f t="shared" si="0"/>
        <v>1.1874430118656298</v>
      </c>
      <c r="Q20" s="12"/>
      <c r="R20" s="12"/>
      <c r="S20" s="12"/>
      <c r="T20" s="12"/>
      <c r="U20" s="12"/>
      <c r="V20" s="12"/>
      <c r="W20" s="12"/>
      <c r="X20" s="12"/>
      <c r="Y20" s="12"/>
      <c r="Z20" s="12"/>
    </row>
    <row r="21" spans="1:26" ht="13.5" customHeight="1" x14ac:dyDescent="0.25">
      <c r="A21" s="48" t="s">
        <v>781</v>
      </c>
      <c r="B21" s="49" t="s">
        <v>782</v>
      </c>
      <c r="C21" s="49" t="s">
        <v>783</v>
      </c>
      <c r="D21" s="49">
        <v>670600000</v>
      </c>
      <c r="E21" s="49">
        <v>1.3547070086912516</v>
      </c>
      <c r="F21" s="49">
        <v>127770000</v>
      </c>
      <c r="G21" s="49">
        <v>0.43202385607533522</v>
      </c>
      <c r="H21" s="49">
        <v>70244000</v>
      </c>
      <c r="I21" s="49">
        <v>0.34279625676286812</v>
      </c>
      <c r="J21" s="49">
        <v>686820000</v>
      </c>
      <c r="K21" s="49">
        <v>1.4788541045507175</v>
      </c>
      <c r="L21" s="49">
        <v>225370000</v>
      </c>
      <c r="M21" s="49">
        <v>1.0205570354897995</v>
      </c>
      <c r="N21" s="49">
        <v>425640000</v>
      </c>
      <c r="O21" s="49">
        <v>1.4488713144727394</v>
      </c>
      <c r="P21" s="50">
        <f t="shared" si="0"/>
        <v>1.012968262673785</v>
      </c>
      <c r="Q21" s="12"/>
      <c r="R21" s="12"/>
      <c r="S21" s="12"/>
      <c r="T21" s="12"/>
      <c r="U21" s="12"/>
      <c r="V21" s="12"/>
      <c r="W21" s="12"/>
      <c r="X21" s="12"/>
      <c r="Y21" s="12"/>
      <c r="Z21" s="12"/>
    </row>
    <row r="22" spans="1:26" ht="13.5" customHeight="1" x14ac:dyDescent="0.25">
      <c r="A22" s="48" t="s">
        <v>784</v>
      </c>
      <c r="B22" s="49" t="s">
        <v>785</v>
      </c>
      <c r="C22" s="49" t="s">
        <v>786</v>
      </c>
      <c r="D22" s="49">
        <v>447170000</v>
      </c>
      <c r="E22" s="49">
        <v>0.9033467537674722</v>
      </c>
      <c r="F22" s="49">
        <v>248190000</v>
      </c>
      <c r="G22" s="49">
        <v>0.83919543585612777</v>
      </c>
      <c r="H22" s="49">
        <v>272630000</v>
      </c>
      <c r="I22" s="49">
        <v>1.3304558892042131</v>
      </c>
      <c r="J22" s="49">
        <v>198400000</v>
      </c>
      <c r="K22" s="49">
        <v>0.42719293896925309</v>
      </c>
      <c r="L22" s="49">
        <v>175780000</v>
      </c>
      <c r="M22" s="49">
        <v>0.79599554376535009</v>
      </c>
      <c r="N22" s="49">
        <v>325720000</v>
      </c>
      <c r="O22" s="49">
        <v>1.108745335377457</v>
      </c>
      <c r="P22" s="50">
        <f t="shared" si="0"/>
        <v>0.90082198282331227</v>
      </c>
      <c r="Q22" s="12"/>
      <c r="R22" s="12"/>
      <c r="S22" s="12"/>
      <c r="T22" s="12"/>
      <c r="U22" s="12"/>
      <c r="V22" s="12"/>
      <c r="W22" s="12"/>
      <c r="X22" s="12"/>
      <c r="Y22" s="12"/>
      <c r="Z22" s="12"/>
    </row>
    <row r="23" spans="1:26" ht="13.5" customHeight="1" x14ac:dyDescent="0.25">
      <c r="A23" s="48" t="s">
        <v>787</v>
      </c>
      <c r="B23" s="49" t="s">
        <v>788</v>
      </c>
      <c r="C23" s="49" t="s">
        <v>789</v>
      </c>
      <c r="D23" s="49">
        <v>345710000</v>
      </c>
      <c r="E23" s="49">
        <v>0.69838317920467119</v>
      </c>
      <c r="F23" s="49">
        <v>18334000</v>
      </c>
      <c r="G23" s="49">
        <v>6.1992058991040114E-2</v>
      </c>
      <c r="H23" s="49">
        <v>33523000</v>
      </c>
      <c r="I23" s="49">
        <v>0.16359488234527689</v>
      </c>
      <c r="J23" s="49">
        <v>298400000</v>
      </c>
      <c r="K23" s="49">
        <v>0.64251196062714266</v>
      </c>
      <c r="L23" s="49">
        <v>201590000</v>
      </c>
      <c r="M23" s="49">
        <v>0.91287257746988826</v>
      </c>
      <c r="N23" s="49">
        <v>1794800000</v>
      </c>
      <c r="O23" s="49">
        <v>6.1094686477203108</v>
      </c>
      <c r="P23" s="50">
        <f t="shared" si="0"/>
        <v>1.4314705510597217</v>
      </c>
      <c r="Q23" s="12"/>
      <c r="R23" s="12"/>
      <c r="S23" s="12"/>
      <c r="T23" s="12"/>
      <c r="U23" s="12"/>
      <c r="V23" s="12"/>
      <c r="W23" s="12"/>
      <c r="X23" s="12"/>
      <c r="Y23" s="12"/>
      <c r="Z23" s="12"/>
    </row>
    <row r="24" spans="1:26" ht="13.5" customHeight="1" x14ac:dyDescent="0.25">
      <c r="A24" s="48" t="s">
        <v>790</v>
      </c>
      <c r="B24" s="49" t="s">
        <v>791</v>
      </c>
      <c r="C24" s="49" t="s">
        <v>792</v>
      </c>
      <c r="D24" s="49">
        <v>19715000</v>
      </c>
      <c r="E24" s="49">
        <v>3.9827093164849427E-2</v>
      </c>
      <c r="F24" s="49">
        <v>980150000</v>
      </c>
      <c r="G24" s="49">
        <v>3.3141440285844861</v>
      </c>
      <c r="H24" s="49">
        <v>7611300</v>
      </c>
      <c r="I24" s="49">
        <v>3.7143743936837566E-2</v>
      </c>
      <c r="J24" s="49">
        <v>756880000</v>
      </c>
      <c r="K24" s="49">
        <v>1.6297066111242351</v>
      </c>
      <c r="L24" s="49">
        <v>171320000</v>
      </c>
      <c r="M24" s="49">
        <v>0.77579904743360906</v>
      </c>
      <c r="N24" s="49">
        <v>303170000</v>
      </c>
      <c r="O24" s="49">
        <v>1.0319855192385594</v>
      </c>
      <c r="P24" s="50">
        <f t="shared" si="0"/>
        <v>1.1381010072470961</v>
      </c>
      <c r="Q24" s="12"/>
      <c r="R24" s="12"/>
      <c r="S24" s="12"/>
      <c r="T24" s="12"/>
      <c r="U24" s="12"/>
      <c r="V24" s="12"/>
      <c r="W24" s="12"/>
      <c r="X24" s="12"/>
      <c r="Y24" s="12"/>
      <c r="Z24" s="12"/>
    </row>
    <row r="25" spans="1:26" ht="13.5" customHeight="1" x14ac:dyDescent="0.25">
      <c r="A25" s="48" t="s">
        <v>793</v>
      </c>
      <c r="B25" s="49" t="s">
        <v>794</v>
      </c>
      <c r="C25" s="49" t="s">
        <v>741</v>
      </c>
      <c r="D25" s="49">
        <v>997800000</v>
      </c>
      <c r="E25" s="49">
        <v>2.0156973654520289</v>
      </c>
      <c r="F25" s="49">
        <v>169540000</v>
      </c>
      <c r="G25" s="49">
        <v>0.57325917319411701</v>
      </c>
      <c r="H25" s="49">
        <v>39008000</v>
      </c>
      <c r="I25" s="49">
        <v>0.19036211468318945</v>
      </c>
      <c r="J25" s="49">
        <v>129700000</v>
      </c>
      <c r="K25" s="49">
        <v>0.27926877109028286</v>
      </c>
      <c r="L25" s="49">
        <v>56072000</v>
      </c>
      <c r="M25" s="49">
        <v>0.25391433684156739</v>
      </c>
      <c r="N25" s="49">
        <v>102340000</v>
      </c>
      <c r="O25" s="49">
        <v>0.34836361790043269</v>
      </c>
      <c r="P25" s="50">
        <f t="shared" si="0"/>
        <v>0.61014422986026973</v>
      </c>
      <c r="Q25" s="12"/>
      <c r="R25" s="12"/>
      <c r="S25" s="12"/>
      <c r="T25" s="12"/>
      <c r="U25" s="12"/>
      <c r="V25" s="12"/>
      <c r="W25" s="12"/>
      <c r="X25" s="12"/>
      <c r="Y25" s="12"/>
      <c r="Z25" s="12"/>
    </row>
    <row r="26" spans="1:26" ht="13.5" customHeight="1" x14ac:dyDescent="0.25">
      <c r="A26" s="48" t="s">
        <v>795</v>
      </c>
      <c r="B26" s="49" t="s">
        <v>796</v>
      </c>
      <c r="C26" s="49" t="s">
        <v>797</v>
      </c>
      <c r="D26" s="49">
        <v>207220000</v>
      </c>
      <c r="E26" s="49">
        <v>0.41861375833731157</v>
      </c>
      <c r="F26" s="49">
        <v>164500000</v>
      </c>
      <c r="G26" s="49">
        <v>0.55621761230643063</v>
      </c>
      <c r="H26" s="49">
        <v>44806000</v>
      </c>
      <c r="I26" s="49">
        <v>0.21865681169234483</v>
      </c>
      <c r="J26" s="49">
        <v>121710000</v>
      </c>
      <c r="K26" s="49">
        <v>0.26206478125981747</v>
      </c>
      <c r="L26" s="49">
        <v>105300000</v>
      </c>
      <c r="M26" s="49">
        <v>0.47683656137496522</v>
      </c>
      <c r="N26" s="49">
        <v>86831000</v>
      </c>
      <c r="O26" s="49">
        <v>0.29557124590494893</v>
      </c>
      <c r="P26" s="50">
        <f t="shared" si="0"/>
        <v>0.37132679514596978</v>
      </c>
      <c r="Q26" s="12"/>
      <c r="R26" s="12"/>
      <c r="S26" s="12"/>
      <c r="T26" s="12"/>
      <c r="U26" s="12"/>
      <c r="V26" s="12"/>
      <c r="W26" s="12"/>
      <c r="X26" s="12"/>
      <c r="Y26" s="12"/>
      <c r="Z26" s="12"/>
    </row>
    <row r="27" spans="1:26" ht="13.5" customHeight="1" x14ac:dyDescent="0.25">
      <c r="A27" s="48" t="s">
        <v>798</v>
      </c>
      <c r="B27" s="49" t="s">
        <v>799</v>
      </c>
      <c r="C27" s="49" t="s">
        <v>800</v>
      </c>
      <c r="D27" s="49">
        <v>75917000</v>
      </c>
      <c r="E27" s="49">
        <v>0.15336309570356954</v>
      </c>
      <c r="F27" s="49">
        <v>57157000</v>
      </c>
      <c r="G27" s="49">
        <v>0.19326279675743865</v>
      </c>
      <c r="H27" s="49">
        <v>99526000</v>
      </c>
      <c r="I27" s="49">
        <v>0.48569472482462867</v>
      </c>
      <c r="J27" s="49">
        <v>200270000</v>
      </c>
      <c r="K27" s="49">
        <v>0.43121940467425551</v>
      </c>
      <c r="L27" s="49">
        <v>106280000</v>
      </c>
      <c r="M27" s="49">
        <v>0.48127435653306072</v>
      </c>
      <c r="N27" s="49">
        <v>83234000</v>
      </c>
      <c r="O27" s="49">
        <v>0.28332711913547604</v>
      </c>
      <c r="P27" s="50">
        <f t="shared" si="0"/>
        <v>0.3380235829380715</v>
      </c>
      <c r="Q27" s="12"/>
      <c r="R27" s="12"/>
      <c r="S27" s="12"/>
      <c r="T27" s="12"/>
      <c r="U27" s="12"/>
      <c r="V27" s="12"/>
      <c r="W27" s="12"/>
      <c r="X27" s="12"/>
      <c r="Y27" s="12"/>
      <c r="Z27" s="12"/>
    </row>
    <row r="28" spans="1:26" ht="13.5" customHeight="1" x14ac:dyDescent="0.25">
      <c r="A28" s="48" t="s">
        <v>801</v>
      </c>
      <c r="B28" s="49" t="s">
        <v>802</v>
      </c>
      <c r="C28" s="49" t="s">
        <v>803</v>
      </c>
      <c r="D28" s="49">
        <v>34585000</v>
      </c>
      <c r="E28" s="49">
        <v>6.9866599903947113E-2</v>
      </c>
      <c r="F28" s="49">
        <v>153640000</v>
      </c>
      <c r="G28" s="49">
        <v>0.51949710610796362</v>
      </c>
      <c r="H28" s="49">
        <v>79199000</v>
      </c>
      <c r="I28" s="49">
        <v>0.38649736261264156</v>
      </c>
      <c r="J28" s="49">
        <v>193710000</v>
      </c>
      <c r="K28" s="49">
        <v>0.41709447685349799</v>
      </c>
      <c r="L28" s="49">
        <v>132850000</v>
      </c>
      <c r="M28" s="49">
        <v>0.60159294566632593</v>
      </c>
      <c r="N28" s="49">
        <v>64681000</v>
      </c>
      <c r="O28" s="49">
        <v>0.22017302295698543</v>
      </c>
      <c r="P28" s="50">
        <f t="shared" si="0"/>
        <v>0.369120252350227</v>
      </c>
      <c r="Q28" s="12"/>
      <c r="R28" s="12"/>
      <c r="S28" s="12"/>
      <c r="T28" s="12"/>
      <c r="U28" s="12"/>
      <c r="V28" s="12"/>
      <c r="W28" s="12"/>
      <c r="X28" s="12"/>
      <c r="Y28" s="12"/>
      <c r="Z28" s="12"/>
    </row>
    <row r="29" spans="1:26" ht="13.5" customHeight="1" x14ac:dyDescent="0.25">
      <c r="A29" s="48" t="s">
        <v>804</v>
      </c>
      <c r="B29" s="49" t="s">
        <v>805</v>
      </c>
      <c r="C29" s="49" t="s">
        <v>806</v>
      </c>
      <c r="D29" s="49">
        <v>94721000</v>
      </c>
      <c r="E29" s="49">
        <v>0.19134983980054285</v>
      </c>
      <c r="F29" s="49">
        <v>48494000</v>
      </c>
      <c r="G29" s="49">
        <v>0.16397092335068722</v>
      </c>
      <c r="H29" s="49">
        <v>135280000</v>
      </c>
      <c r="I29" s="49">
        <v>0.66017706302147938</v>
      </c>
      <c r="J29" s="49">
        <v>217570000</v>
      </c>
      <c r="K29" s="49">
        <v>0.46846959542107042</v>
      </c>
      <c r="L29" s="49">
        <v>53391000</v>
      </c>
      <c r="M29" s="49">
        <v>0.24177379723049158</v>
      </c>
      <c r="N29" s="49">
        <v>55080000</v>
      </c>
      <c r="O29" s="49">
        <v>0.18749138239159499</v>
      </c>
      <c r="P29" s="50">
        <f t="shared" si="0"/>
        <v>0.31887210020264439</v>
      </c>
      <c r="Q29" s="12"/>
      <c r="R29" s="12"/>
      <c r="S29" s="12"/>
      <c r="T29" s="12"/>
      <c r="U29" s="12"/>
      <c r="V29" s="12"/>
      <c r="W29" s="12"/>
      <c r="X29" s="12"/>
      <c r="Y29" s="12"/>
      <c r="Z29" s="12"/>
    </row>
    <row r="30" spans="1:26" ht="13.5" customHeight="1" x14ac:dyDescent="0.25">
      <c r="A30" s="48" t="s">
        <v>807</v>
      </c>
      <c r="B30" s="49" t="s">
        <v>808</v>
      </c>
      <c r="C30" s="49" t="s">
        <v>809</v>
      </c>
      <c r="D30" s="49">
        <v>80019000</v>
      </c>
      <c r="E30" s="49">
        <v>0.16164971686320498</v>
      </c>
      <c r="F30" s="49">
        <v>53899000</v>
      </c>
      <c r="G30" s="49">
        <v>0.18224664489789852</v>
      </c>
      <c r="H30" s="49">
        <v>74299000</v>
      </c>
      <c r="I30" s="49">
        <v>0.36258497638551818</v>
      </c>
      <c r="J30" s="49">
        <v>115970000</v>
      </c>
      <c r="K30" s="49">
        <v>0.24970546941665461</v>
      </c>
      <c r="L30" s="49">
        <v>39673000</v>
      </c>
      <c r="M30" s="49">
        <v>0.17965372174196573</v>
      </c>
      <c r="N30" s="49">
        <v>165050000</v>
      </c>
      <c r="O30" s="49">
        <v>0.56182739040909146</v>
      </c>
      <c r="P30" s="50">
        <f t="shared" si="0"/>
        <v>0.28294465328572227</v>
      </c>
      <c r="Q30" s="12"/>
      <c r="R30" s="12"/>
      <c r="S30" s="12"/>
      <c r="T30" s="12"/>
      <c r="U30" s="12"/>
      <c r="V30" s="12"/>
      <c r="W30" s="12"/>
      <c r="X30" s="12"/>
      <c r="Y30" s="12"/>
      <c r="Z30" s="12"/>
    </row>
    <row r="31" spans="1:26" ht="13.5" customHeight="1" x14ac:dyDescent="0.25">
      <c r="A31" s="48" t="s">
        <v>810</v>
      </c>
      <c r="B31" s="49" t="s">
        <v>811</v>
      </c>
      <c r="C31" s="49" t="s">
        <v>812</v>
      </c>
      <c r="D31" s="49">
        <v>82639000</v>
      </c>
      <c r="E31" s="49">
        <v>0.16694248805731632</v>
      </c>
      <c r="F31" s="49">
        <v>59031000</v>
      </c>
      <c r="G31" s="49">
        <v>0.1995992818970268</v>
      </c>
      <c r="H31" s="49">
        <v>83204000</v>
      </c>
      <c r="I31" s="49">
        <v>0.40604207829419853</v>
      </c>
      <c r="J31" s="49">
        <v>97171000</v>
      </c>
      <c r="K31" s="49">
        <v>0.20922764653518797</v>
      </c>
      <c r="L31" s="49">
        <v>96479000</v>
      </c>
      <c r="M31" s="49">
        <v>0.43689187658969858</v>
      </c>
      <c r="N31" s="49">
        <v>59107000</v>
      </c>
      <c r="O31" s="49">
        <v>0.20119922184132183</v>
      </c>
      <c r="P31" s="50">
        <f t="shared" si="0"/>
        <v>0.26998376553579168</v>
      </c>
      <c r="Q31" s="12"/>
      <c r="R31" s="12"/>
      <c r="S31" s="12"/>
      <c r="T31" s="12"/>
      <c r="U31" s="12"/>
      <c r="V31" s="12"/>
      <c r="W31" s="12"/>
      <c r="X31" s="12"/>
      <c r="Y31" s="12"/>
      <c r="Z31" s="12"/>
    </row>
    <row r="32" spans="1:26" ht="13.5" customHeight="1" x14ac:dyDescent="0.25">
      <c r="A32" s="48" t="s">
        <v>813</v>
      </c>
      <c r="B32" s="49" t="s">
        <v>814</v>
      </c>
      <c r="C32" s="49" t="s">
        <v>815</v>
      </c>
      <c r="D32" s="49">
        <v>23427000</v>
      </c>
      <c r="E32" s="49">
        <v>4.7325859070399566E-2</v>
      </c>
      <c r="F32" s="49">
        <v>195320000</v>
      </c>
      <c r="G32" s="49">
        <v>0.6604281096394653</v>
      </c>
      <c r="H32" s="49">
        <v>50406000</v>
      </c>
      <c r="I32" s="49">
        <v>0.24598525309477154</v>
      </c>
      <c r="J32" s="49">
        <v>128400000</v>
      </c>
      <c r="K32" s="49">
        <v>0.2764696238087303</v>
      </c>
      <c r="L32" s="49">
        <v>65481000</v>
      </c>
      <c r="M32" s="49">
        <v>0.29652169872169132</v>
      </c>
      <c r="N32" s="49">
        <v>101280000</v>
      </c>
      <c r="O32" s="49">
        <v>0.34475539594445792</v>
      </c>
      <c r="P32" s="50">
        <f t="shared" si="0"/>
        <v>0.31191432337991931</v>
      </c>
      <c r="Q32" s="12"/>
      <c r="R32" s="12"/>
      <c r="S32" s="12"/>
      <c r="T32" s="12"/>
      <c r="U32" s="12"/>
      <c r="V32" s="12"/>
      <c r="W32" s="12"/>
      <c r="X32" s="12"/>
      <c r="Y32" s="12"/>
      <c r="Z32" s="12"/>
    </row>
    <row r="33" spans="1:26" ht="13.5" customHeight="1" x14ac:dyDescent="0.25">
      <c r="A33" s="48" t="s">
        <v>816</v>
      </c>
      <c r="B33" s="49" t="s">
        <v>817</v>
      </c>
      <c r="C33" s="49" t="s">
        <v>818</v>
      </c>
      <c r="D33" s="49">
        <v>21237000</v>
      </c>
      <c r="E33" s="49">
        <v>4.2901748797459151E-2</v>
      </c>
      <c r="F33" s="49">
        <v>21611000</v>
      </c>
      <c r="G33" s="49">
        <v>7.3072454830117164E-2</v>
      </c>
      <c r="H33" s="49">
        <v>31703000</v>
      </c>
      <c r="I33" s="49">
        <v>0.15471313888948821</v>
      </c>
      <c r="J33" s="49">
        <v>923820000</v>
      </c>
      <c r="K33" s="49">
        <v>1.9891601858799159</v>
      </c>
      <c r="L33" s="49">
        <v>54014000</v>
      </c>
      <c r="M33" s="49">
        <v>0.24459496700956668</v>
      </c>
      <c r="N33" s="49">
        <v>216340000</v>
      </c>
      <c r="O33" s="49">
        <v>0.73641767731658792</v>
      </c>
      <c r="P33" s="50">
        <f t="shared" si="0"/>
        <v>0.54014336212052261</v>
      </c>
      <c r="Q33" s="12"/>
      <c r="R33" s="12"/>
      <c r="S33" s="12"/>
      <c r="T33" s="12"/>
      <c r="U33" s="12"/>
      <c r="V33" s="12"/>
      <c r="W33" s="12"/>
      <c r="X33" s="12"/>
      <c r="Y33" s="12"/>
      <c r="Z33" s="12"/>
    </row>
    <row r="34" spans="1:26" ht="13.5" customHeight="1" x14ac:dyDescent="0.25">
      <c r="A34" s="48" t="s">
        <v>819</v>
      </c>
      <c r="B34" s="49" t="s">
        <v>820</v>
      </c>
      <c r="C34" s="49" t="s">
        <v>821</v>
      </c>
      <c r="D34" s="49">
        <v>219630000</v>
      </c>
      <c r="E34" s="49">
        <v>0.44368371655064054</v>
      </c>
      <c r="F34" s="49">
        <v>29643000</v>
      </c>
      <c r="G34" s="49">
        <v>0.10023075186382689</v>
      </c>
      <c r="H34" s="49">
        <v>79868000</v>
      </c>
      <c r="I34" s="49">
        <v>0.38976213534446713</v>
      </c>
      <c r="J34" s="49">
        <v>58519000</v>
      </c>
      <c r="K34" s="49">
        <v>0.12600253828398042</v>
      </c>
      <c r="L34" s="49">
        <v>44802000</v>
      </c>
      <c r="M34" s="49">
        <v>0.20287969252346807</v>
      </c>
      <c r="N34" s="49">
        <v>90523000</v>
      </c>
      <c r="O34" s="49">
        <v>0.30813875105726862</v>
      </c>
      <c r="P34" s="50">
        <f t="shared" si="0"/>
        <v>0.26178293093727528</v>
      </c>
      <c r="Q34" s="12"/>
      <c r="R34" s="12"/>
      <c r="S34" s="12"/>
      <c r="T34" s="12"/>
      <c r="U34" s="12"/>
      <c r="V34" s="12"/>
      <c r="W34" s="12"/>
      <c r="X34" s="12"/>
      <c r="Y34" s="12"/>
      <c r="Z34" s="12"/>
    </row>
    <row r="35" spans="1:26" ht="13.5" customHeight="1" x14ac:dyDescent="0.25">
      <c r="A35" s="48" t="s">
        <v>822</v>
      </c>
      <c r="B35" s="49" t="s">
        <v>823</v>
      </c>
      <c r="C35" s="49" t="s">
        <v>824</v>
      </c>
      <c r="D35" s="49">
        <v>42241000</v>
      </c>
      <c r="E35" s="49">
        <v>8.5332804584144287E-2</v>
      </c>
      <c r="F35" s="49">
        <v>181920000</v>
      </c>
      <c r="G35" s="49">
        <v>0.61511919775553725</v>
      </c>
      <c r="H35" s="49">
        <v>64550000</v>
      </c>
      <c r="I35" s="49">
        <v>0.31500908795118637</v>
      </c>
      <c r="J35" s="49">
        <v>89892000</v>
      </c>
      <c r="K35" s="49">
        <v>0.19355457494871015</v>
      </c>
      <c r="L35" s="49">
        <v>30911000</v>
      </c>
      <c r="M35" s="49">
        <v>0.13997621033866617</v>
      </c>
      <c r="N35" s="49">
        <v>7098700</v>
      </c>
      <c r="O35" s="49">
        <v>2.4163853961205798E-2</v>
      </c>
      <c r="P35" s="50">
        <f t="shared" si="0"/>
        <v>0.22885928825657501</v>
      </c>
      <c r="Q35" s="12"/>
      <c r="R35" s="12"/>
      <c r="S35" s="12"/>
      <c r="T35" s="12"/>
      <c r="U35" s="12"/>
      <c r="V35" s="12"/>
      <c r="W35" s="12"/>
      <c r="X35" s="12"/>
      <c r="Y35" s="12"/>
      <c r="Z35" s="12"/>
    </row>
    <row r="36" spans="1:26" ht="13.5" customHeight="1" x14ac:dyDescent="0.25">
      <c r="A36" s="48" t="s">
        <v>825</v>
      </c>
      <c r="B36" s="49" t="s">
        <v>826</v>
      </c>
      <c r="C36" s="49" t="s">
        <v>827</v>
      </c>
      <c r="D36" s="49">
        <v>94012000</v>
      </c>
      <c r="E36" s="49">
        <v>0.18991755935144936</v>
      </c>
      <c r="F36" s="49">
        <v>192520000</v>
      </c>
      <c r="G36" s="49">
        <v>0.65096057581297284</v>
      </c>
      <c r="H36" s="49">
        <v>36024000</v>
      </c>
      <c r="I36" s="49">
        <v>0.17579995947875351</v>
      </c>
      <c r="J36" s="49">
        <v>87848000</v>
      </c>
      <c r="K36" s="49">
        <v>0.18915345414602289</v>
      </c>
      <c r="L36" s="49">
        <v>3812100</v>
      </c>
      <c r="M36" s="49">
        <v>1.7262570328751229E-2</v>
      </c>
      <c r="N36" s="49">
        <v>41132000</v>
      </c>
      <c r="O36" s="49">
        <v>0.14001262782373067</v>
      </c>
      <c r="P36" s="50">
        <f t="shared" si="0"/>
        <v>0.22718445782361341</v>
      </c>
      <c r="Q36" s="12"/>
      <c r="R36" s="12"/>
      <c r="S36" s="12"/>
      <c r="T36" s="12"/>
      <c r="U36" s="12"/>
      <c r="V36" s="12"/>
      <c r="W36" s="12"/>
      <c r="X36" s="12"/>
      <c r="Y36" s="12"/>
      <c r="Z36" s="12"/>
    </row>
    <row r="37" spans="1:26" ht="13.5" customHeight="1" x14ac:dyDescent="0.25">
      <c r="A37" s="51" t="s">
        <v>828</v>
      </c>
      <c r="B37" s="52" t="s">
        <v>829</v>
      </c>
      <c r="C37" s="52" t="s">
        <v>830</v>
      </c>
      <c r="D37" s="52">
        <v>30336000</v>
      </c>
      <c r="E37" s="52">
        <v>6.1283017917771854E-2</v>
      </c>
      <c r="F37" s="52">
        <v>81393000</v>
      </c>
      <c r="G37" s="52">
        <v>0.27521106454989247</v>
      </c>
      <c r="H37" s="52">
        <v>20158000</v>
      </c>
      <c r="I37" s="52">
        <v>9.8372628891092412E-2</v>
      </c>
      <c r="J37" s="52">
        <v>65059000</v>
      </c>
      <c r="K37" s="52">
        <v>0.14008440230040642</v>
      </c>
      <c r="L37" s="52">
        <v>42334000</v>
      </c>
      <c r="M37" s="52">
        <v>0.19170369410491714</v>
      </c>
      <c r="N37" s="52">
        <v>47315000</v>
      </c>
      <c r="O37" s="52">
        <v>0.1610594545725911</v>
      </c>
      <c r="P37" s="50">
        <f t="shared" si="0"/>
        <v>0.15461904372277857</v>
      </c>
      <c r="Q37" s="12"/>
      <c r="R37" s="12"/>
      <c r="S37" s="12"/>
      <c r="T37" s="12"/>
      <c r="U37" s="12"/>
      <c r="V37" s="12"/>
      <c r="W37" s="12"/>
      <c r="X37" s="12"/>
      <c r="Y37" s="12"/>
      <c r="Z37" s="12"/>
    </row>
    <row r="38" spans="1:26" ht="13.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3.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3.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3.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3.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3.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3.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3.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3.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3.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3.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3.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3.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3.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3.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3.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3.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3.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3.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3.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3.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3.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3.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3.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3.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3.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3.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3.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3.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3.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3.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3.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3.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3.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3.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3.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3.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3.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3.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3.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3.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3.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3.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3.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3.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3.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3.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3.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3.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3.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3.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3.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3.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3.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3.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3.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3.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3.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3.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3.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3.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3.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3.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3.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3.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3.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3.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3.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3.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3.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3.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3.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3.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3.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3.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3.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3.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3.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3.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3.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3.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3.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3.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3.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3.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3.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3.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3.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3.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3.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3.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3.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3.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3.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3.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3.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3.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3.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3.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3.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3.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3.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3.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3.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3.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3.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3.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3.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3.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3.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3.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3.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3.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3.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3.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3.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3.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3.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3.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3.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3.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3.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3.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3.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3.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3.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3.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3.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3.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3.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3.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3.5"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3.5"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3.5"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3.5"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3.5"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3.5"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3.5"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3.5"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3.5"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3.5"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3.5"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3.5"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3.5"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3.5"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3.5"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3.5"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3.5"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3.5"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3.5"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3.5"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3.5"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3.5"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3.5"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3.5"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3.5"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3.5"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3.5"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3.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3.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3.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3.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3.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3.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3.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3.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3.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3.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3.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3.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3.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3.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3.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3.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3.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3.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3.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3.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3.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3.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3.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3.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3.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3.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3.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3.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3.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3.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3.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3.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3.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3.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3.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3.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3.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3.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3.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3.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3.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3.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3.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3.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3.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3.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3.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3.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3.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3.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3.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3.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3.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3.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3.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3.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3.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3.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3.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3.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3.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3.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3.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3.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3.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3.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3.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3.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3.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3.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3.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3.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3.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3.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3.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3.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3.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3.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3.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3.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3.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3.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3.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3.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3.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3.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3.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3.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3.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3.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3.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3.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3.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3.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3.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3.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3.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3.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3.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3.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3.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3.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3.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3.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3.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3.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3.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3.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3.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3.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3.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3.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3.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3.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3.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3.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3.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3.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3.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3.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3.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3.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3.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3.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3.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3.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3.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3.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3.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3.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3.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3.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3.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3.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3.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3.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3.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3.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3.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3.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3.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3.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3.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3.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3.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3.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3.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3.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3.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3.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3.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3.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3.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3.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3.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3.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3.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3.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3.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3.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3.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3.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3.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3.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3.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3.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3.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3.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3.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3.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3.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3.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3.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3.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3.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3.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3.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3.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3.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3.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3.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3.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3.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3.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3.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3.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3.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3.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3.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3.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3.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3.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3.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3.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3.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3.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3.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3.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3.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3.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3.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3.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3.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3.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3.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3.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3.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3.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3.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3.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3.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3.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3.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3.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3.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3.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3.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3.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3.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3.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3.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3.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3.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3.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3.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3.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3.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3.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3.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3.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3.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3.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3.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3.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3.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3.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3.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3.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3.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3.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3.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3.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3.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3.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3.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3.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3.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3.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3.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3.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3.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3.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3.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3.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3.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3.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3.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3.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3.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3.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3.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3.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3.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3.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3.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3.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3.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3.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3.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3.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3.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3.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3.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3.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3.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3.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3.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3.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3.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3.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3.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3.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3.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3.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3.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3.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3.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3.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3.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3.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3.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3.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3.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3.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3.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3.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3.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3.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3.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3.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3.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3.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3.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3.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3.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3.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3.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3.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3.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3.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3.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3.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3.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3.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3.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3.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3.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3.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3.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3.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3.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3.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3.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3.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3.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3.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3.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3.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3.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3.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3.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3.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3.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3.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3.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3.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3.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3.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3.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3.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3.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3.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3.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3.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3.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3.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3.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3.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3.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3.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3.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3.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3.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3.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3.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3.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3.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3.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3.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3.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3.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3.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3.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3.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3.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3.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3.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3.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3.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3.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3.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3.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3.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3.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3.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3.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3.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3.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3.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3.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3.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3.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3.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3.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3.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3.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3.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3.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3.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3.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3.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3.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3.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3.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3.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3.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3.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3.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3.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3.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3.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3.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3.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3.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3.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3.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3.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3.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3.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3.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3.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3.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3.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3.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3.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3.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3.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3.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3.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3.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3.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3.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3.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3.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3.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3.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3.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3.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3.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3.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3.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3.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3.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3.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3.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3.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3.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3.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3.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3.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3.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3.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3.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3.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3.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3.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3.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3.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3.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3.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3.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3.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3.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3.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3.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3.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3.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3.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3.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3.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3.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3.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3.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3.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3.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3.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3.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3.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3.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3.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3.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3.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3.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3.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3.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3.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3.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3.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3.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3.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3.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3.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3.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3.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3.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3.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3.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3.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3.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3.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3.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3.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3.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3.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3.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3.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3.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3.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3.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3.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3.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3.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3.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3.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3.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3.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3.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3.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3.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3.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3.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3.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3.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3.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3.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3.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3.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3.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3.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3.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3.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3.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3.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3.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3.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3.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3.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3.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3.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3.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3.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3.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3.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3.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3.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3.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3.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3.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3.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3.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3.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3.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3.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3.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3.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3.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3.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3.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3.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3.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3.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3.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3.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3.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3.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3.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3.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3.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3.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3.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3.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3.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3.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3.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3.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3.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3.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3.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3.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3.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3.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3.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3.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3.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3.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3.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3.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3.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3.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3.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3.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3.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3.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3.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3.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3.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3.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3.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3.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3.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3.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3.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3.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3.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3.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3.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3.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3.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3.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3.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3.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3.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3.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3.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3.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3.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3.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3.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3.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3.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3.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3.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3.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3.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3.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3.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3.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3.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3.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3.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3.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3.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3.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3.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3.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3.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3.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3.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3.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3.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3.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3.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3.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3.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3.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3.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3.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3.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3.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3.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3.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3.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3.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3.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3.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3.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3.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3.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3.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3.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3.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3.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3.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3.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3.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3.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3.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3.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3.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3.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3.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3.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3.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3.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3.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3.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3.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3.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3.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3.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3.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3.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3.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3.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3.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3.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3.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3.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3.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3.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3.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3.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3.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3.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3.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3.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3.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3.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3.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3.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3.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3.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3.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3.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3.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3.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3.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3.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3.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3.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3.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3.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3.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3.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3.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3.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3.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3.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3.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3.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3.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3.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3.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3.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3.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3.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3.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3.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3.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3.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3.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3.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3.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3.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3.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3.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3.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3.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3.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3.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3.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3.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3.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3.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3.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3.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3.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3.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3.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3.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3.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3.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3.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3.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3.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3.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3.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3.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3.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3.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3.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Table S1</vt:lpstr>
      <vt:lpstr>Table S2</vt:lpstr>
      <vt:lpstr>Table S3</vt:lpstr>
      <vt:lpstr>Table S4</vt:lpstr>
      <vt:lpstr>Table S5</vt:lpstr>
      <vt:lpstr>Table S6</vt:lpstr>
      <vt:lpstr>Table S7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García Durán</dc:creator>
  <cp:lastModifiedBy>U1-Carmen</cp:lastModifiedBy>
  <dcterms:created xsi:type="dcterms:W3CDTF">2020-04-15T10:32:20Z</dcterms:created>
  <dcterms:modified xsi:type="dcterms:W3CDTF">2021-05-18T09:00:01Z</dcterms:modified>
</cp:coreProperties>
</file>