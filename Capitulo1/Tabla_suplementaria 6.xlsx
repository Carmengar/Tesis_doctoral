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octorado\"/>
    </mc:Choice>
  </mc:AlternateContent>
  <bookViews>
    <workbookView xWindow="0" yWindow="0" windowWidth="23040" windowHeight="86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7" i="1" l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</calcChain>
</file>

<file path=xl/sharedStrings.xml><?xml version="1.0" encoding="utf-8"?>
<sst xmlns="http://schemas.openxmlformats.org/spreadsheetml/2006/main" count="122" uniqueCount="121">
  <si>
    <t>Protein ID</t>
  </si>
  <si>
    <t>Name in network</t>
  </si>
  <si>
    <t>Protein name</t>
  </si>
  <si>
    <t>S1 intensity</t>
  </si>
  <si>
    <t>S1 (%)</t>
  </si>
  <si>
    <t>S2 intensity</t>
  </si>
  <si>
    <t>S2 (%)</t>
  </si>
  <si>
    <t>S3 intensity</t>
  </si>
  <si>
    <t>S3 (%)</t>
  </si>
  <si>
    <t>S4 intensity</t>
  </si>
  <si>
    <t>S4 (%)</t>
  </si>
  <si>
    <t>S5 intensity</t>
  </si>
  <si>
    <t>S5 (%)</t>
  </si>
  <si>
    <t>S6 intensity</t>
  </si>
  <si>
    <t>S6 (%)</t>
  </si>
  <si>
    <t>Mean (%)</t>
  </si>
  <si>
    <t>Q99895</t>
  </si>
  <si>
    <t>CTRC</t>
  </si>
  <si>
    <t>Chymotrypsin-C</t>
  </si>
  <si>
    <t>PRSS2</t>
  </si>
  <si>
    <t>PRSS3P2</t>
  </si>
  <si>
    <t>Trypsin-2</t>
  </si>
  <si>
    <t>P04054</t>
  </si>
  <si>
    <t>PLA2G1B</t>
  </si>
  <si>
    <t>Phospholipase A2</t>
  </si>
  <si>
    <t>P04745</t>
  </si>
  <si>
    <t>AMY1 (A, B and C)</t>
  </si>
  <si>
    <t>Amylase, alpha 1</t>
  </si>
  <si>
    <t>P15086</t>
  </si>
  <si>
    <t>CPB1</t>
  </si>
  <si>
    <t>M14 carboxypeptidases</t>
  </si>
  <si>
    <t>Q6GPI1</t>
  </si>
  <si>
    <t>CTRB2</t>
  </si>
  <si>
    <t>Chymotrypsinogen B2</t>
  </si>
  <si>
    <t>Q8WWU7</t>
  </si>
  <si>
    <t>ITLN2</t>
  </si>
  <si>
    <t>Intelectin-2</t>
  </si>
  <si>
    <t>Q9NR71</t>
  </si>
  <si>
    <t>ASAH2</t>
  </si>
  <si>
    <t>Neutral ceramidase</t>
  </si>
  <si>
    <t>P15085</t>
  </si>
  <si>
    <t>CPA1</t>
  </si>
  <si>
    <t>Carboxypeptidase A1</t>
  </si>
  <si>
    <t>P61626</t>
  </si>
  <si>
    <t>LYZ</t>
  </si>
  <si>
    <t>Lysozyme C</t>
  </si>
  <si>
    <t>P08473</t>
  </si>
  <si>
    <t>MME</t>
  </si>
  <si>
    <t>Neprilysin</t>
  </si>
  <si>
    <t>Q02817</t>
  </si>
  <si>
    <t>MUC2</t>
  </si>
  <si>
    <t>Mucin 2</t>
  </si>
  <si>
    <t>Q8WWA0</t>
  </si>
  <si>
    <t>ITLN1</t>
  </si>
  <si>
    <t>Intelectin-1</t>
  </si>
  <si>
    <t>P16444</t>
  </si>
  <si>
    <t>DPEP1</t>
  </si>
  <si>
    <t>Dipeptidase 1</t>
  </si>
  <si>
    <t>P06702</t>
  </si>
  <si>
    <t>S100A9</t>
  </si>
  <si>
    <t>Protein S100-A9</t>
  </si>
  <si>
    <t>B7ZL91</t>
  </si>
  <si>
    <t>MEP1A</t>
  </si>
  <si>
    <t>Meprin A subunit alpha</t>
  </si>
  <si>
    <t>P56470</t>
  </si>
  <si>
    <t>LGALS4</t>
  </si>
  <si>
    <t>Galectin-4</t>
  </si>
  <si>
    <t>P63261</t>
  </si>
  <si>
    <t>ACTG1</t>
  </si>
  <si>
    <t>Actin, cytoplasmic 2</t>
  </si>
  <si>
    <t>P15144</t>
  </si>
  <si>
    <t>ANPEP</t>
  </si>
  <si>
    <t>Aminopeptidase N</t>
  </si>
  <si>
    <t>P0CG48</t>
  </si>
  <si>
    <t>UBC</t>
  </si>
  <si>
    <t>Polyubiquitin-C</t>
  </si>
  <si>
    <t>P11678</t>
  </si>
  <si>
    <t>EPX</t>
  </si>
  <si>
    <t>Eosinophil peroxidase</t>
  </si>
  <si>
    <t>P12882</t>
  </si>
  <si>
    <t>MYH1</t>
  </si>
  <si>
    <t>Myosin-1</t>
  </si>
  <si>
    <t>P48052</t>
  </si>
  <si>
    <t>CPA2</t>
  </si>
  <si>
    <t>P07355</t>
  </si>
  <si>
    <t>ANXA2</t>
  </si>
  <si>
    <t>Annexin A2</t>
  </si>
  <si>
    <t>P05109</t>
  </si>
  <si>
    <t>S100A8</t>
  </si>
  <si>
    <t>Protein S100-A8</t>
  </si>
  <si>
    <t>P98088</t>
  </si>
  <si>
    <t>MUC5A</t>
  </si>
  <si>
    <t>Mucin-5AC</t>
  </si>
  <si>
    <t>P19961</t>
  </si>
  <si>
    <t>AMY2B</t>
  </si>
  <si>
    <t>Amylase, alpha 2B</t>
  </si>
  <si>
    <t>Q01523</t>
  </si>
  <si>
    <t>DEFA5</t>
  </si>
  <si>
    <t>Defensin-5</t>
  </si>
  <si>
    <t>P05090</t>
  </si>
  <si>
    <t>APOD</t>
  </si>
  <si>
    <t>Apolipoprotein D</t>
  </si>
  <si>
    <t>C9J0K6</t>
  </si>
  <si>
    <t>SRI</t>
  </si>
  <si>
    <t>Sorcin</t>
  </si>
  <si>
    <t>J3QKX5</t>
  </si>
  <si>
    <t>MEP1B</t>
  </si>
  <si>
    <t>Meprin A subunit beta</t>
  </si>
  <si>
    <t>Q9H3R2</t>
  </si>
  <si>
    <t>MUC13</t>
  </si>
  <si>
    <t>Mucin-13</t>
  </si>
  <si>
    <t>P98073</t>
  </si>
  <si>
    <t>TMPRSS15</t>
  </si>
  <si>
    <t>Enteropeptidase</t>
  </si>
  <si>
    <t>Q5TEC6</t>
  </si>
  <si>
    <t>HIST2H3PS2</t>
  </si>
  <si>
    <t>Histone cluster 2 H3 pseudogene 2</t>
  </si>
  <si>
    <t>P17931</t>
  </si>
  <si>
    <t>LGALS3</t>
  </si>
  <si>
    <t>Galectin-3</t>
  </si>
  <si>
    <t>Tabla suplementaria 6. Lista de las proteínas humanas más abundantes identificadas en las 6 muestras de microbiota intestinal usadas para el análisis STRING.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</si>
</sst>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rgb="FF44546A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1" fillId="0" borderId="0" xfId="0" applyFont="1"/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44546A"/>
          <bgColor theme="8" tint="0.3999755851924192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Table S7-style" pivot="0" count="3"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2:P37" headerRowDxfId="18" dataDxfId="17" totalsRowDxfId="16">
  <tableColumns count="16">
    <tableColumn id="1" name="Protein ID" dataDxfId="15"/>
    <tableColumn id="2" name="Name in network" dataDxfId="14"/>
    <tableColumn id="3" name="Protein name" dataDxfId="13"/>
    <tableColumn id="4" name="S1 intensity" dataDxfId="12"/>
    <tableColumn id="5" name="S1 (%)" dataDxfId="11"/>
    <tableColumn id="6" name="S2 intensity" dataDxfId="10"/>
    <tableColumn id="7" name="S2 (%)" dataDxfId="9"/>
    <tableColumn id="8" name="S3 intensity" dataDxfId="8"/>
    <tableColumn id="9" name="S3 (%)" dataDxfId="7"/>
    <tableColumn id="10" name="S4 intensity" dataDxfId="6"/>
    <tableColumn id="11" name="S4 (%)" dataDxfId="5"/>
    <tableColumn id="12" name="S5 intensity" dataDxfId="4"/>
    <tableColumn id="13" name="S5 (%)" dataDxfId="3"/>
    <tableColumn id="14" name="S6 intensity" dataDxfId="2"/>
    <tableColumn id="15" name="S6 (%)" dataDxfId="1"/>
    <tableColumn id="16" name="Mean (%)" dataDxfId="0">
      <calculatedColumnFormula>AVERAGE(E3,G3,I3,K3,M3,O3)</calculatedColumnFormula>
    </tableColumn>
  </tableColumns>
  <tableStyleInfo name="Table S7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C9" sqref="C9"/>
    </sheetView>
  </sheetViews>
  <sheetFormatPr baseColWidth="10" defaultColWidth="12.625" defaultRowHeight="15" customHeight="1" x14ac:dyDescent="0.25"/>
  <cols>
    <col min="1" max="1" width="10.125" style="2" customWidth="1"/>
    <col min="2" max="2" width="13.5" style="2" customWidth="1"/>
    <col min="3" max="3" width="25.625" style="2" customWidth="1"/>
    <col min="4" max="4" width="10.5" style="2" customWidth="1"/>
    <col min="5" max="9" width="10.25" style="2" customWidth="1"/>
    <col min="10" max="10" width="10.5" style="2" customWidth="1"/>
    <col min="11" max="16" width="10.25" style="2" customWidth="1"/>
    <col min="17" max="26" width="9.375" style="2" customWidth="1"/>
    <col min="27" max="16384" width="12.625" style="2"/>
  </cols>
  <sheetData>
    <row r="1" spans="1:26" ht="13.5" customHeight="1" x14ac:dyDescent="0.25">
      <c r="A1" s="1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5" t="s">
        <v>15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5">
      <c r="A3" s="6" t="s">
        <v>16</v>
      </c>
      <c r="B3" s="7" t="s">
        <v>17</v>
      </c>
      <c r="C3" s="7" t="s">
        <v>18</v>
      </c>
      <c r="D3" s="7">
        <v>12535000000</v>
      </c>
      <c r="E3" s="7">
        <v>25.322475922971719</v>
      </c>
      <c r="F3" s="7">
        <v>4305800000</v>
      </c>
      <c r="G3" s="7">
        <v>14.559038267896835</v>
      </c>
      <c r="H3" s="7">
        <v>4456100000</v>
      </c>
      <c r="I3" s="7">
        <v>21.746119238098867</v>
      </c>
      <c r="J3" s="7">
        <v>18217000000</v>
      </c>
      <c r="K3" s="7">
        <v>39.224666175417752</v>
      </c>
      <c r="L3" s="7">
        <v>8067700000</v>
      </c>
      <c r="M3" s="7">
        <v>36.533469384661025</v>
      </c>
      <c r="N3" s="7">
        <v>9881400000</v>
      </c>
      <c r="O3" s="7">
        <v>33.636117392235057</v>
      </c>
      <c r="P3" s="8">
        <f t="shared" ref="P3:P37" si="0">AVERAGE(E3,G3,I3,K3,M3,O3)</f>
        <v>28.503647730213544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5">
      <c r="A4" s="6" t="s">
        <v>19</v>
      </c>
      <c r="B4" s="7" t="s">
        <v>20</v>
      </c>
      <c r="C4" s="7" t="s">
        <v>21</v>
      </c>
      <c r="D4" s="7">
        <v>4999300000</v>
      </c>
      <c r="E4" s="7">
        <v>10.099294286534706</v>
      </c>
      <c r="F4" s="7">
        <v>4308100000</v>
      </c>
      <c r="G4" s="7">
        <v>14.566815170682881</v>
      </c>
      <c r="H4" s="7">
        <v>1872000000</v>
      </c>
      <c r="I4" s="7">
        <v>9.135507554525498</v>
      </c>
      <c r="J4" s="7">
        <v>4587100000</v>
      </c>
      <c r="K4" s="7">
        <v>9.8768988424690551</v>
      </c>
      <c r="L4" s="7">
        <v>1548100000</v>
      </c>
      <c r="M4" s="7">
        <v>7.0103578410691689</v>
      </c>
      <c r="N4" s="7">
        <v>1350900000</v>
      </c>
      <c r="O4" s="7">
        <v>4.5984406040814401</v>
      </c>
      <c r="P4" s="8">
        <f t="shared" si="0"/>
        <v>9.2145523832271241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5">
      <c r="A5" s="6" t="s">
        <v>22</v>
      </c>
      <c r="B5" s="7" t="s">
        <v>23</v>
      </c>
      <c r="C5" s="7" t="s">
        <v>24</v>
      </c>
      <c r="D5" s="7">
        <v>2297100000</v>
      </c>
      <c r="E5" s="7">
        <v>4.640467446562293</v>
      </c>
      <c r="F5" s="7">
        <v>1376100000</v>
      </c>
      <c r="G5" s="7">
        <v>4.6529547495129435</v>
      </c>
      <c r="H5" s="7">
        <v>1181100000</v>
      </c>
      <c r="I5" s="7">
        <v>5.7638610965011043</v>
      </c>
      <c r="J5" s="7">
        <v>3365800000</v>
      </c>
      <c r="K5" s="7">
        <v>7.2472076309612499</v>
      </c>
      <c r="L5" s="7">
        <v>2453600000</v>
      </c>
      <c r="M5" s="7">
        <v>11.110789999901373</v>
      </c>
      <c r="N5" s="7">
        <v>909030000</v>
      </c>
      <c r="O5" s="7">
        <v>3.094322645886558</v>
      </c>
      <c r="P5" s="8">
        <f t="shared" si="0"/>
        <v>6.0849339282209201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5">
      <c r="A6" s="6" t="s">
        <v>25</v>
      </c>
      <c r="B6" s="7" t="s">
        <v>26</v>
      </c>
      <c r="C6" s="7" t="s">
        <v>27</v>
      </c>
      <c r="D6" s="7">
        <v>2020500000</v>
      </c>
      <c r="E6" s="7">
        <v>4.0816962586648877</v>
      </c>
      <c r="F6" s="7">
        <v>901780000</v>
      </c>
      <c r="G6" s="7">
        <v>3.0491545193051248</v>
      </c>
      <c r="H6" s="7">
        <v>1967000000</v>
      </c>
      <c r="I6" s="7">
        <v>9.5991150426023815</v>
      </c>
      <c r="J6" s="7">
        <v>4691100000</v>
      </c>
      <c r="K6" s="7">
        <v>10.100830624993261</v>
      </c>
      <c r="L6" s="7">
        <v>1289800000</v>
      </c>
      <c r="M6" s="7">
        <v>5.8406818315425459</v>
      </c>
      <c r="N6" s="7">
        <v>1062800000</v>
      </c>
      <c r="O6" s="7">
        <v>3.6177531083113141</v>
      </c>
      <c r="P6" s="8">
        <f t="shared" si="0"/>
        <v>6.0482052309032523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6" t="s">
        <v>28</v>
      </c>
      <c r="B7" s="7" t="s">
        <v>29</v>
      </c>
      <c r="C7" s="7" t="s">
        <v>30</v>
      </c>
      <c r="D7" s="7">
        <v>2788000000</v>
      </c>
      <c r="E7" s="7">
        <v>5.6321549958711739</v>
      </c>
      <c r="F7" s="7">
        <v>2390600000</v>
      </c>
      <c r="G7" s="7">
        <v>8.0832451305760067</v>
      </c>
      <c r="H7" s="7">
        <v>3449000000</v>
      </c>
      <c r="I7" s="7">
        <v>16.831391856601734</v>
      </c>
      <c r="J7" s="7">
        <v>873140000</v>
      </c>
      <c r="K7" s="7">
        <v>1.8800365057036976</v>
      </c>
      <c r="L7" s="7">
        <v>548980000</v>
      </c>
      <c r="M7" s="7">
        <v>2.4859803937666509</v>
      </c>
      <c r="N7" s="7">
        <v>1072200000</v>
      </c>
      <c r="O7" s="7">
        <v>3.6497505482982597</v>
      </c>
      <c r="P7" s="8">
        <f t="shared" si="0"/>
        <v>6.4270932384695874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6" t="s">
        <v>31</v>
      </c>
      <c r="B8" s="7" t="s">
        <v>32</v>
      </c>
      <c r="C8" s="7" t="s">
        <v>33</v>
      </c>
      <c r="D8" s="7">
        <v>6506900000</v>
      </c>
      <c r="E8" s="7">
        <v>13.144859878993595</v>
      </c>
      <c r="F8" s="7">
        <v>5346000000</v>
      </c>
      <c r="G8" s="7">
        <v>18.076227084438774</v>
      </c>
      <c r="H8" s="7">
        <v>1063800000</v>
      </c>
      <c r="I8" s="7">
        <v>5.1914278506967015</v>
      </c>
      <c r="J8" s="7">
        <v>885000000</v>
      </c>
      <c r="K8" s="7">
        <v>1.9055733416723235</v>
      </c>
      <c r="L8" s="7">
        <v>514460000</v>
      </c>
      <c r="M8" s="7">
        <v>2.3296613235039372</v>
      </c>
      <c r="N8" s="7">
        <v>463830000</v>
      </c>
      <c r="O8" s="7">
        <v>1.5788694243771515</v>
      </c>
      <c r="P8" s="8">
        <f t="shared" si="0"/>
        <v>7.0377698172804131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6" t="s">
        <v>34</v>
      </c>
      <c r="B9" s="7" t="s">
        <v>35</v>
      </c>
      <c r="C9" s="7" t="s">
        <v>36</v>
      </c>
      <c r="D9" s="7">
        <v>1555800000</v>
      </c>
      <c r="E9" s="7">
        <v>3.1429364212971205</v>
      </c>
      <c r="F9" s="7">
        <v>1348900000</v>
      </c>
      <c r="G9" s="7">
        <v>4.5609844209127317</v>
      </c>
      <c r="H9" s="7">
        <v>1290900000</v>
      </c>
      <c r="I9" s="7">
        <v>6.2996937511415414</v>
      </c>
      <c r="J9" s="7">
        <v>279580000</v>
      </c>
      <c r="K9" s="7">
        <v>0.60198892075112787</v>
      </c>
      <c r="L9" s="7">
        <v>1333300000</v>
      </c>
      <c r="M9" s="7">
        <v>6.0376655962131149</v>
      </c>
      <c r="N9" s="7">
        <v>2629600000</v>
      </c>
      <c r="O9" s="7">
        <v>8.9511136371993132</v>
      </c>
      <c r="P9" s="8">
        <f t="shared" si="0"/>
        <v>4.9323971245858251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5">
      <c r="A10" s="6" t="s">
        <v>37</v>
      </c>
      <c r="B10" s="7" t="s">
        <v>38</v>
      </c>
      <c r="C10" s="7" t="s">
        <v>39</v>
      </c>
      <c r="D10" s="7">
        <v>1122300000</v>
      </c>
      <c r="E10" s="7">
        <v>2.267205004256176</v>
      </c>
      <c r="F10" s="7">
        <v>854010000</v>
      </c>
      <c r="G10" s="7">
        <v>2.8876316297010018</v>
      </c>
      <c r="H10" s="7">
        <v>476290000</v>
      </c>
      <c r="I10" s="7">
        <v>2.3243327420646098</v>
      </c>
      <c r="J10" s="7">
        <v>813200000</v>
      </c>
      <c r="K10" s="7">
        <v>1.7509742841219584</v>
      </c>
      <c r="L10" s="7">
        <v>1011600000</v>
      </c>
      <c r="M10" s="7">
        <v>4.5808914101321436</v>
      </c>
      <c r="N10" s="7">
        <v>766420000</v>
      </c>
      <c r="O10" s="7">
        <v>2.608880633488857</v>
      </c>
      <c r="P10" s="8">
        <f t="shared" si="0"/>
        <v>2.7366526172941241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6" t="s">
        <v>40</v>
      </c>
      <c r="B11" s="7" t="s">
        <v>41</v>
      </c>
      <c r="C11" s="7" t="s">
        <v>42</v>
      </c>
      <c r="D11" s="7">
        <v>2801600000</v>
      </c>
      <c r="E11" s="7">
        <v>5.6596289226803016</v>
      </c>
      <c r="F11" s="7">
        <v>574510000</v>
      </c>
      <c r="G11" s="7">
        <v>1.9425688780922035</v>
      </c>
      <c r="H11" s="7">
        <v>424580000</v>
      </c>
      <c r="I11" s="7">
        <v>2.0719838661861307</v>
      </c>
      <c r="J11" s="7">
        <v>826310000</v>
      </c>
      <c r="K11" s="7">
        <v>1.7792026078613077</v>
      </c>
      <c r="L11" s="7">
        <v>329590000</v>
      </c>
      <c r="M11" s="7">
        <v>1.4925029654660471</v>
      </c>
      <c r="N11" s="7">
        <v>898050000</v>
      </c>
      <c r="O11" s="7">
        <v>3.0569469127954227</v>
      </c>
      <c r="P11" s="8">
        <f t="shared" si="0"/>
        <v>2.6671390255135687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5">
      <c r="A12" s="6" t="s">
        <v>43</v>
      </c>
      <c r="B12" s="7" t="s">
        <v>44</v>
      </c>
      <c r="C12" s="7" t="s">
        <v>45</v>
      </c>
      <c r="D12" s="7">
        <v>1084300000</v>
      </c>
      <c r="E12" s="7">
        <v>2.1904396205247898</v>
      </c>
      <c r="F12" s="7">
        <v>957680000</v>
      </c>
      <c r="G12" s="7">
        <v>3.2381670696268841</v>
      </c>
      <c r="H12" s="7">
        <v>357760000</v>
      </c>
      <c r="I12" s="7">
        <v>1.7458969993093174</v>
      </c>
      <c r="J12" s="7">
        <v>848810000</v>
      </c>
      <c r="K12" s="7">
        <v>1.8276493877343332</v>
      </c>
      <c r="L12" s="7">
        <v>247650000</v>
      </c>
      <c r="M12" s="7">
        <v>1.121448949900381</v>
      </c>
      <c r="N12" s="7">
        <v>844650000</v>
      </c>
      <c r="O12" s="7">
        <v>2.8751742218057501</v>
      </c>
      <c r="P12" s="8">
        <f t="shared" si="0"/>
        <v>2.1664627081502426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5">
      <c r="A13" s="6" t="s">
        <v>46</v>
      </c>
      <c r="B13" s="7" t="s">
        <v>47</v>
      </c>
      <c r="C13" s="7" t="s">
        <v>48</v>
      </c>
      <c r="D13" s="7">
        <v>1531700000</v>
      </c>
      <c r="E13" s="7">
        <v>3.0942510068780047</v>
      </c>
      <c r="F13" s="7">
        <v>441430000</v>
      </c>
      <c r="G13" s="7">
        <v>1.4925905203673415</v>
      </c>
      <c r="H13" s="7">
        <v>347810000</v>
      </c>
      <c r="I13" s="7">
        <v>1.6973402150317916</v>
      </c>
      <c r="J13" s="7">
        <v>199230000</v>
      </c>
      <c r="K13" s="7">
        <v>0.42898008684901345</v>
      </c>
      <c r="L13" s="7">
        <v>312710000</v>
      </c>
      <c r="M13" s="7">
        <v>1.4160642080490538</v>
      </c>
      <c r="N13" s="7">
        <v>922240000</v>
      </c>
      <c r="O13" s="7">
        <v>3.1392892610171494</v>
      </c>
      <c r="P13" s="8">
        <f t="shared" si="0"/>
        <v>1.8780858830320588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6" t="s">
        <v>49</v>
      </c>
      <c r="B14" s="7" t="s">
        <v>50</v>
      </c>
      <c r="C14" s="7" t="s">
        <v>51</v>
      </c>
      <c r="D14" s="7">
        <v>511010000</v>
      </c>
      <c r="E14" s="7">
        <v>1.0323125984362012</v>
      </c>
      <c r="F14" s="7">
        <v>706440000</v>
      </c>
      <c r="G14" s="7">
        <v>2.3886587844240417</v>
      </c>
      <c r="H14" s="7">
        <v>409230000</v>
      </c>
      <c r="I14" s="7">
        <v>1.9970746562705501</v>
      </c>
      <c r="J14" s="7">
        <v>802990000</v>
      </c>
      <c r="K14" s="7">
        <v>1.7289902120106879</v>
      </c>
      <c r="L14" s="7">
        <v>283260000</v>
      </c>
      <c r="M14" s="7">
        <v>1.2827039351858749</v>
      </c>
      <c r="N14" s="7">
        <v>372390000</v>
      </c>
      <c r="O14" s="7">
        <v>1.267609220929667</v>
      </c>
      <c r="P14" s="8">
        <f t="shared" si="0"/>
        <v>1.616224901209504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6" t="s">
        <v>52</v>
      </c>
      <c r="B15" s="7" t="s">
        <v>53</v>
      </c>
      <c r="C15" s="7" t="s">
        <v>54</v>
      </c>
      <c r="D15" s="7">
        <v>405890000</v>
      </c>
      <c r="E15" s="7">
        <v>0.81995530533506122</v>
      </c>
      <c r="F15" s="7">
        <v>392160000</v>
      </c>
      <c r="G15" s="7">
        <v>1.3259957376418834</v>
      </c>
      <c r="H15" s="7">
        <v>298280000</v>
      </c>
      <c r="I15" s="7">
        <v>1.4556299109849711</v>
      </c>
      <c r="J15" s="7">
        <v>439640000</v>
      </c>
      <c r="K15" s="7">
        <v>0.94662854681674591</v>
      </c>
      <c r="L15" s="7">
        <v>694780000</v>
      </c>
      <c r="M15" s="7">
        <v>3.1462156325935262</v>
      </c>
      <c r="N15" s="7">
        <v>446220000</v>
      </c>
      <c r="O15" s="7">
        <v>1.5189252841462877</v>
      </c>
      <c r="P15" s="8">
        <f t="shared" si="0"/>
        <v>1.5355584029197462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6" t="s">
        <v>55</v>
      </c>
      <c r="B16" s="7" t="s">
        <v>56</v>
      </c>
      <c r="C16" s="7" t="s">
        <v>57</v>
      </c>
      <c r="D16" s="7">
        <v>757860000</v>
      </c>
      <c r="E16" s="7">
        <v>1.5309845714386399</v>
      </c>
      <c r="F16" s="7">
        <v>202310000</v>
      </c>
      <c r="G16" s="7">
        <v>0.68406313158488752</v>
      </c>
      <c r="H16" s="7">
        <v>318070000</v>
      </c>
      <c r="I16" s="7">
        <v>1.5522066708696183</v>
      </c>
      <c r="J16" s="7">
        <v>573040000</v>
      </c>
      <c r="K16" s="7">
        <v>1.2338641217083708</v>
      </c>
      <c r="L16" s="7">
        <v>157500000</v>
      </c>
      <c r="M16" s="7">
        <v>0.7132170789796487</v>
      </c>
      <c r="N16" s="7">
        <v>720910000</v>
      </c>
      <c r="O16" s="7">
        <v>2.4539653681903548</v>
      </c>
      <c r="P16" s="8">
        <f t="shared" si="0"/>
        <v>1.36138349046192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5">
      <c r="A17" s="6" t="s">
        <v>58</v>
      </c>
      <c r="B17" s="7" t="s">
        <v>59</v>
      </c>
      <c r="C17" s="7" t="s">
        <v>60</v>
      </c>
      <c r="D17" s="7">
        <v>522550000</v>
      </c>
      <c r="E17" s="7">
        <v>1.0556250333904167</v>
      </c>
      <c r="F17" s="7">
        <v>194000000</v>
      </c>
      <c r="G17" s="7">
        <v>0.65596484369269026</v>
      </c>
      <c r="H17" s="7">
        <v>374970000</v>
      </c>
      <c r="I17" s="7">
        <v>1.8298831558335611</v>
      </c>
      <c r="J17" s="7">
        <v>433250000</v>
      </c>
      <c r="K17" s="7">
        <v>0.9328696613328068</v>
      </c>
      <c r="L17" s="7">
        <v>451170000</v>
      </c>
      <c r="M17" s="7">
        <v>2.0430612668142736</v>
      </c>
      <c r="N17" s="7">
        <v>296300000</v>
      </c>
      <c r="O17" s="7">
        <v>1.0086001561842701</v>
      </c>
      <c r="P17" s="8">
        <f t="shared" si="0"/>
        <v>1.2543340195413364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6" t="s">
        <v>61</v>
      </c>
      <c r="B18" s="7" t="s">
        <v>62</v>
      </c>
      <c r="C18" s="7" t="s">
        <v>63</v>
      </c>
      <c r="D18" s="7">
        <v>206260000</v>
      </c>
      <c r="E18" s="7">
        <v>0.41667442232725549</v>
      </c>
      <c r="F18" s="7">
        <v>71729000</v>
      </c>
      <c r="G18" s="7">
        <v>0.24253454780017</v>
      </c>
      <c r="H18" s="7">
        <v>189510000</v>
      </c>
      <c r="I18" s="7">
        <v>0.92482373753105096</v>
      </c>
      <c r="J18" s="7">
        <v>2592400000</v>
      </c>
      <c r="K18" s="7">
        <v>5.5819303174591308</v>
      </c>
      <c r="L18" s="7">
        <v>274310000</v>
      </c>
      <c r="M18" s="7">
        <v>1.2421750916502061</v>
      </c>
      <c r="N18" s="7">
        <v>972570000</v>
      </c>
      <c r="O18" s="7">
        <v>3.3106117242664048</v>
      </c>
      <c r="P18" s="8">
        <f t="shared" si="0"/>
        <v>1.9531249735057028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6" t="s">
        <v>64</v>
      </c>
      <c r="B19" s="7" t="s">
        <v>65</v>
      </c>
      <c r="C19" s="7" t="s">
        <v>66</v>
      </c>
      <c r="D19" s="7">
        <v>486470000</v>
      </c>
      <c r="E19" s="7">
        <v>0.98273832167914277</v>
      </c>
      <c r="F19" s="7">
        <v>482540000</v>
      </c>
      <c r="G19" s="7">
        <v>1.6315942045127361</v>
      </c>
      <c r="H19" s="7">
        <v>204740000</v>
      </c>
      <c r="I19" s="7">
        <v>0.99914733798800781</v>
      </c>
      <c r="J19" s="7">
        <v>301470000</v>
      </c>
      <c r="K19" s="7">
        <v>0.64912225459203987</v>
      </c>
      <c r="L19" s="7">
        <v>135460000</v>
      </c>
      <c r="M19" s="7">
        <v>0.61341197154656013</v>
      </c>
      <c r="N19" s="7">
        <v>431730000</v>
      </c>
      <c r="O19" s="7">
        <v>1.4696015708047079</v>
      </c>
      <c r="P19" s="8">
        <f t="shared" si="0"/>
        <v>1.0576026101871989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6" t="s">
        <v>67</v>
      </c>
      <c r="B20" s="7" t="s">
        <v>68</v>
      </c>
      <c r="C20" s="7" t="s">
        <v>69</v>
      </c>
      <c r="D20" s="7">
        <v>1293400000</v>
      </c>
      <c r="E20" s="7">
        <v>2.6128512452151278</v>
      </c>
      <c r="F20" s="7">
        <v>562790000</v>
      </c>
      <c r="G20" s="7">
        <v>1.9029404865041708</v>
      </c>
      <c r="H20" s="7">
        <v>194150000</v>
      </c>
      <c r="I20" s="7">
        <v>0.94746730326449013</v>
      </c>
      <c r="J20" s="7">
        <v>92905000</v>
      </c>
      <c r="K20" s="7">
        <v>0.20004213707126234</v>
      </c>
      <c r="L20" s="7">
        <v>113250000</v>
      </c>
      <c r="M20" s="7">
        <v>0.51283704250441409</v>
      </c>
      <c r="N20" s="7">
        <v>278650000</v>
      </c>
      <c r="O20" s="7">
        <v>0.94851985663431271</v>
      </c>
      <c r="P20" s="8">
        <f t="shared" si="0"/>
        <v>1.1874430118656298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6" t="s">
        <v>70</v>
      </c>
      <c r="B21" s="7" t="s">
        <v>71</v>
      </c>
      <c r="C21" s="7" t="s">
        <v>72</v>
      </c>
      <c r="D21" s="7">
        <v>670600000</v>
      </c>
      <c r="E21" s="7">
        <v>1.3547070086912516</v>
      </c>
      <c r="F21" s="7">
        <v>127770000</v>
      </c>
      <c r="G21" s="7">
        <v>0.43202385607533522</v>
      </c>
      <c r="H21" s="7">
        <v>70244000</v>
      </c>
      <c r="I21" s="7">
        <v>0.34279625676286812</v>
      </c>
      <c r="J21" s="7">
        <v>686820000</v>
      </c>
      <c r="K21" s="7">
        <v>1.4788541045507175</v>
      </c>
      <c r="L21" s="7">
        <v>225370000</v>
      </c>
      <c r="M21" s="7">
        <v>1.0205570354897995</v>
      </c>
      <c r="N21" s="7">
        <v>425640000</v>
      </c>
      <c r="O21" s="7">
        <v>1.4488713144727394</v>
      </c>
      <c r="P21" s="8">
        <f t="shared" si="0"/>
        <v>1.012968262673785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5">
      <c r="A22" s="6" t="s">
        <v>73</v>
      </c>
      <c r="B22" s="7" t="s">
        <v>74</v>
      </c>
      <c r="C22" s="7" t="s">
        <v>75</v>
      </c>
      <c r="D22" s="7">
        <v>447170000</v>
      </c>
      <c r="E22" s="7">
        <v>0.9033467537674722</v>
      </c>
      <c r="F22" s="7">
        <v>248190000</v>
      </c>
      <c r="G22" s="7">
        <v>0.83919543585612777</v>
      </c>
      <c r="H22" s="7">
        <v>272630000</v>
      </c>
      <c r="I22" s="7">
        <v>1.3304558892042131</v>
      </c>
      <c r="J22" s="7">
        <v>198400000</v>
      </c>
      <c r="K22" s="7">
        <v>0.42719293896925309</v>
      </c>
      <c r="L22" s="7">
        <v>175780000</v>
      </c>
      <c r="M22" s="7">
        <v>0.79599554376535009</v>
      </c>
      <c r="N22" s="7">
        <v>325720000</v>
      </c>
      <c r="O22" s="7">
        <v>1.108745335377457</v>
      </c>
      <c r="P22" s="8">
        <f t="shared" si="0"/>
        <v>0.90082198282331227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5">
      <c r="A23" s="6" t="s">
        <v>76</v>
      </c>
      <c r="B23" s="7" t="s">
        <v>77</v>
      </c>
      <c r="C23" s="7" t="s">
        <v>78</v>
      </c>
      <c r="D23" s="7">
        <v>345710000</v>
      </c>
      <c r="E23" s="7">
        <v>0.69838317920467119</v>
      </c>
      <c r="F23" s="7">
        <v>18334000</v>
      </c>
      <c r="G23" s="7">
        <v>6.1992058991040114E-2</v>
      </c>
      <c r="H23" s="7">
        <v>33523000</v>
      </c>
      <c r="I23" s="7">
        <v>0.16359488234527689</v>
      </c>
      <c r="J23" s="7">
        <v>298400000</v>
      </c>
      <c r="K23" s="7">
        <v>0.64251196062714266</v>
      </c>
      <c r="L23" s="7">
        <v>201590000</v>
      </c>
      <c r="M23" s="7">
        <v>0.91287257746988826</v>
      </c>
      <c r="N23" s="7">
        <v>1794800000</v>
      </c>
      <c r="O23" s="7">
        <v>6.1094686477203108</v>
      </c>
      <c r="P23" s="8">
        <f t="shared" si="0"/>
        <v>1.4314705510597217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5">
      <c r="A24" s="6" t="s">
        <v>79</v>
      </c>
      <c r="B24" s="7" t="s">
        <v>80</v>
      </c>
      <c r="C24" s="7" t="s">
        <v>81</v>
      </c>
      <c r="D24" s="7">
        <v>19715000</v>
      </c>
      <c r="E24" s="7">
        <v>3.9827093164849427E-2</v>
      </c>
      <c r="F24" s="7">
        <v>980150000</v>
      </c>
      <c r="G24" s="7">
        <v>3.3141440285844861</v>
      </c>
      <c r="H24" s="7">
        <v>7611300</v>
      </c>
      <c r="I24" s="7">
        <v>3.7143743936837566E-2</v>
      </c>
      <c r="J24" s="7">
        <v>756880000</v>
      </c>
      <c r="K24" s="7">
        <v>1.6297066111242351</v>
      </c>
      <c r="L24" s="7">
        <v>171320000</v>
      </c>
      <c r="M24" s="7">
        <v>0.77579904743360906</v>
      </c>
      <c r="N24" s="7">
        <v>303170000</v>
      </c>
      <c r="O24" s="7">
        <v>1.0319855192385594</v>
      </c>
      <c r="P24" s="8">
        <f t="shared" si="0"/>
        <v>1.1381010072470961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5">
      <c r="A25" s="6" t="s">
        <v>82</v>
      </c>
      <c r="B25" s="7" t="s">
        <v>83</v>
      </c>
      <c r="C25" s="7" t="s">
        <v>30</v>
      </c>
      <c r="D25" s="7">
        <v>997800000</v>
      </c>
      <c r="E25" s="7">
        <v>2.0156973654520289</v>
      </c>
      <c r="F25" s="7">
        <v>169540000</v>
      </c>
      <c r="G25" s="7">
        <v>0.57325917319411701</v>
      </c>
      <c r="H25" s="7">
        <v>39008000</v>
      </c>
      <c r="I25" s="7">
        <v>0.19036211468318945</v>
      </c>
      <c r="J25" s="7">
        <v>129700000</v>
      </c>
      <c r="K25" s="7">
        <v>0.27926877109028286</v>
      </c>
      <c r="L25" s="7">
        <v>56072000</v>
      </c>
      <c r="M25" s="7">
        <v>0.25391433684156739</v>
      </c>
      <c r="N25" s="7">
        <v>102340000</v>
      </c>
      <c r="O25" s="7">
        <v>0.34836361790043269</v>
      </c>
      <c r="P25" s="8">
        <f t="shared" si="0"/>
        <v>0.61014422986026973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5">
      <c r="A26" s="6" t="s">
        <v>84</v>
      </c>
      <c r="B26" s="7" t="s">
        <v>85</v>
      </c>
      <c r="C26" s="7" t="s">
        <v>86</v>
      </c>
      <c r="D26" s="7">
        <v>207220000</v>
      </c>
      <c r="E26" s="7">
        <v>0.41861375833731157</v>
      </c>
      <c r="F26" s="7">
        <v>164500000</v>
      </c>
      <c r="G26" s="7">
        <v>0.55621761230643063</v>
      </c>
      <c r="H26" s="7">
        <v>44806000</v>
      </c>
      <c r="I26" s="7">
        <v>0.21865681169234483</v>
      </c>
      <c r="J26" s="7">
        <v>121710000</v>
      </c>
      <c r="K26" s="7">
        <v>0.26206478125981747</v>
      </c>
      <c r="L26" s="7">
        <v>105300000</v>
      </c>
      <c r="M26" s="7">
        <v>0.47683656137496522</v>
      </c>
      <c r="N26" s="7">
        <v>86831000</v>
      </c>
      <c r="O26" s="7">
        <v>0.29557124590494893</v>
      </c>
      <c r="P26" s="8">
        <f t="shared" si="0"/>
        <v>0.37132679514596978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5">
      <c r="A27" s="6" t="s">
        <v>87</v>
      </c>
      <c r="B27" s="7" t="s">
        <v>88</v>
      </c>
      <c r="C27" s="7" t="s">
        <v>89</v>
      </c>
      <c r="D27" s="7">
        <v>75917000</v>
      </c>
      <c r="E27" s="7">
        <v>0.15336309570356954</v>
      </c>
      <c r="F27" s="7">
        <v>57157000</v>
      </c>
      <c r="G27" s="7">
        <v>0.19326279675743865</v>
      </c>
      <c r="H27" s="7">
        <v>99526000</v>
      </c>
      <c r="I27" s="7">
        <v>0.48569472482462867</v>
      </c>
      <c r="J27" s="7">
        <v>200270000</v>
      </c>
      <c r="K27" s="7">
        <v>0.43121940467425551</v>
      </c>
      <c r="L27" s="7">
        <v>106280000</v>
      </c>
      <c r="M27" s="7">
        <v>0.48127435653306072</v>
      </c>
      <c r="N27" s="7">
        <v>83234000</v>
      </c>
      <c r="O27" s="7">
        <v>0.28332711913547604</v>
      </c>
      <c r="P27" s="8">
        <f t="shared" si="0"/>
        <v>0.3380235829380715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5">
      <c r="A28" s="6" t="s">
        <v>90</v>
      </c>
      <c r="B28" s="7" t="s">
        <v>91</v>
      </c>
      <c r="C28" s="7" t="s">
        <v>92</v>
      </c>
      <c r="D28" s="7">
        <v>34585000</v>
      </c>
      <c r="E28" s="7">
        <v>6.9866599903947113E-2</v>
      </c>
      <c r="F28" s="7">
        <v>153640000</v>
      </c>
      <c r="G28" s="7">
        <v>0.51949710610796362</v>
      </c>
      <c r="H28" s="7">
        <v>79199000</v>
      </c>
      <c r="I28" s="7">
        <v>0.38649736261264156</v>
      </c>
      <c r="J28" s="7">
        <v>193710000</v>
      </c>
      <c r="K28" s="7">
        <v>0.41709447685349799</v>
      </c>
      <c r="L28" s="7">
        <v>132850000</v>
      </c>
      <c r="M28" s="7">
        <v>0.60159294566632593</v>
      </c>
      <c r="N28" s="7">
        <v>64681000</v>
      </c>
      <c r="O28" s="7">
        <v>0.22017302295698543</v>
      </c>
      <c r="P28" s="8">
        <f t="shared" si="0"/>
        <v>0.369120252350227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5">
      <c r="A29" s="6" t="s">
        <v>93</v>
      </c>
      <c r="B29" s="7" t="s">
        <v>94</v>
      </c>
      <c r="C29" s="7" t="s">
        <v>95</v>
      </c>
      <c r="D29" s="7">
        <v>94721000</v>
      </c>
      <c r="E29" s="7">
        <v>0.19134983980054285</v>
      </c>
      <c r="F29" s="7">
        <v>48494000</v>
      </c>
      <c r="G29" s="7">
        <v>0.16397092335068722</v>
      </c>
      <c r="H29" s="7">
        <v>135280000</v>
      </c>
      <c r="I29" s="7">
        <v>0.66017706302147938</v>
      </c>
      <c r="J29" s="7">
        <v>217570000</v>
      </c>
      <c r="K29" s="7">
        <v>0.46846959542107042</v>
      </c>
      <c r="L29" s="7">
        <v>53391000</v>
      </c>
      <c r="M29" s="7">
        <v>0.24177379723049158</v>
      </c>
      <c r="N29" s="7">
        <v>55080000</v>
      </c>
      <c r="O29" s="7">
        <v>0.18749138239159499</v>
      </c>
      <c r="P29" s="8">
        <f t="shared" si="0"/>
        <v>0.31887210020264439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5">
      <c r="A30" s="6" t="s">
        <v>96</v>
      </c>
      <c r="B30" s="7" t="s">
        <v>97</v>
      </c>
      <c r="C30" s="7" t="s">
        <v>98</v>
      </c>
      <c r="D30" s="7">
        <v>80019000</v>
      </c>
      <c r="E30" s="7">
        <v>0.16164971686320498</v>
      </c>
      <c r="F30" s="7">
        <v>53899000</v>
      </c>
      <c r="G30" s="7">
        <v>0.18224664489789852</v>
      </c>
      <c r="H30" s="7">
        <v>74299000</v>
      </c>
      <c r="I30" s="7">
        <v>0.36258497638551818</v>
      </c>
      <c r="J30" s="7">
        <v>115970000</v>
      </c>
      <c r="K30" s="7">
        <v>0.24970546941665461</v>
      </c>
      <c r="L30" s="7">
        <v>39673000</v>
      </c>
      <c r="M30" s="7">
        <v>0.17965372174196573</v>
      </c>
      <c r="N30" s="7">
        <v>165050000</v>
      </c>
      <c r="O30" s="7">
        <v>0.56182739040909146</v>
      </c>
      <c r="P30" s="8">
        <f t="shared" si="0"/>
        <v>0.28294465328572227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5">
      <c r="A31" s="6" t="s">
        <v>99</v>
      </c>
      <c r="B31" s="7" t="s">
        <v>100</v>
      </c>
      <c r="C31" s="7" t="s">
        <v>101</v>
      </c>
      <c r="D31" s="7">
        <v>82639000</v>
      </c>
      <c r="E31" s="7">
        <v>0.16694248805731632</v>
      </c>
      <c r="F31" s="7">
        <v>59031000</v>
      </c>
      <c r="G31" s="7">
        <v>0.1995992818970268</v>
      </c>
      <c r="H31" s="7">
        <v>83204000</v>
      </c>
      <c r="I31" s="7">
        <v>0.40604207829419853</v>
      </c>
      <c r="J31" s="7">
        <v>97171000</v>
      </c>
      <c r="K31" s="7">
        <v>0.20922764653518797</v>
      </c>
      <c r="L31" s="7">
        <v>96479000</v>
      </c>
      <c r="M31" s="7">
        <v>0.43689187658969858</v>
      </c>
      <c r="N31" s="7">
        <v>59107000</v>
      </c>
      <c r="O31" s="7">
        <v>0.20119922184132183</v>
      </c>
      <c r="P31" s="8">
        <f t="shared" si="0"/>
        <v>0.26998376553579168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6" t="s">
        <v>102</v>
      </c>
      <c r="B32" s="7" t="s">
        <v>103</v>
      </c>
      <c r="C32" s="7" t="s">
        <v>104</v>
      </c>
      <c r="D32" s="7">
        <v>23427000</v>
      </c>
      <c r="E32" s="7">
        <v>4.7325859070399566E-2</v>
      </c>
      <c r="F32" s="7">
        <v>195320000</v>
      </c>
      <c r="G32" s="7">
        <v>0.6604281096394653</v>
      </c>
      <c r="H32" s="7">
        <v>50406000</v>
      </c>
      <c r="I32" s="7">
        <v>0.24598525309477154</v>
      </c>
      <c r="J32" s="7">
        <v>128400000</v>
      </c>
      <c r="K32" s="7">
        <v>0.2764696238087303</v>
      </c>
      <c r="L32" s="7">
        <v>65481000</v>
      </c>
      <c r="M32" s="7">
        <v>0.29652169872169132</v>
      </c>
      <c r="N32" s="7">
        <v>101280000</v>
      </c>
      <c r="O32" s="7">
        <v>0.34475539594445792</v>
      </c>
      <c r="P32" s="8">
        <f t="shared" si="0"/>
        <v>0.31191432337991931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5">
      <c r="A33" s="6" t="s">
        <v>105</v>
      </c>
      <c r="B33" s="7" t="s">
        <v>106</v>
      </c>
      <c r="C33" s="7" t="s">
        <v>107</v>
      </c>
      <c r="D33" s="7">
        <v>21237000</v>
      </c>
      <c r="E33" s="7">
        <v>4.2901748797459151E-2</v>
      </c>
      <c r="F33" s="7">
        <v>21611000</v>
      </c>
      <c r="G33" s="7">
        <v>7.3072454830117164E-2</v>
      </c>
      <c r="H33" s="7">
        <v>31703000</v>
      </c>
      <c r="I33" s="7">
        <v>0.15471313888948821</v>
      </c>
      <c r="J33" s="7">
        <v>923820000</v>
      </c>
      <c r="K33" s="7">
        <v>1.9891601858799159</v>
      </c>
      <c r="L33" s="7">
        <v>54014000</v>
      </c>
      <c r="M33" s="7">
        <v>0.24459496700956668</v>
      </c>
      <c r="N33" s="7">
        <v>216340000</v>
      </c>
      <c r="O33" s="7">
        <v>0.73641767731658792</v>
      </c>
      <c r="P33" s="8">
        <f t="shared" si="0"/>
        <v>0.54014336212052261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5">
      <c r="A34" s="6" t="s">
        <v>108</v>
      </c>
      <c r="B34" s="7" t="s">
        <v>109</v>
      </c>
      <c r="C34" s="7" t="s">
        <v>110</v>
      </c>
      <c r="D34" s="7">
        <v>219630000</v>
      </c>
      <c r="E34" s="7">
        <v>0.44368371655064054</v>
      </c>
      <c r="F34" s="7">
        <v>29643000</v>
      </c>
      <c r="G34" s="7">
        <v>0.10023075186382689</v>
      </c>
      <c r="H34" s="7">
        <v>79868000</v>
      </c>
      <c r="I34" s="7">
        <v>0.38976213534446713</v>
      </c>
      <c r="J34" s="7">
        <v>58519000</v>
      </c>
      <c r="K34" s="7">
        <v>0.12600253828398042</v>
      </c>
      <c r="L34" s="7">
        <v>44802000</v>
      </c>
      <c r="M34" s="7">
        <v>0.20287969252346807</v>
      </c>
      <c r="N34" s="7">
        <v>90523000</v>
      </c>
      <c r="O34" s="7">
        <v>0.30813875105726862</v>
      </c>
      <c r="P34" s="8">
        <f t="shared" si="0"/>
        <v>0.26178293093727528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6" t="s">
        <v>111</v>
      </c>
      <c r="B35" s="7" t="s">
        <v>112</v>
      </c>
      <c r="C35" s="7" t="s">
        <v>113</v>
      </c>
      <c r="D35" s="7">
        <v>42241000</v>
      </c>
      <c r="E35" s="7">
        <v>8.5332804584144287E-2</v>
      </c>
      <c r="F35" s="7">
        <v>181920000</v>
      </c>
      <c r="G35" s="7">
        <v>0.61511919775553725</v>
      </c>
      <c r="H35" s="7">
        <v>64550000</v>
      </c>
      <c r="I35" s="7">
        <v>0.31500908795118637</v>
      </c>
      <c r="J35" s="7">
        <v>89892000</v>
      </c>
      <c r="K35" s="7">
        <v>0.19355457494871015</v>
      </c>
      <c r="L35" s="7">
        <v>30911000</v>
      </c>
      <c r="M35" s="7">
        <v>0.13997621033866617</v>
      </c>
      <c r="N35" s="7">
        <v>7098700</v>
      </c>
      <c r="O35" s="7">
        <v>2.4163853961205798E-2</v>
      </c>
      <c r="P35" s="8">
        <f t="shared" si="0"/>
        <v>0.22885928825657501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5">
      <c r="A36" s="6" t="s">
        <v>114</v>
      </c>
      <c r="B36" s="7" t="s">
        <v>115</v>
      </c>
      <c r="C36" s="7" t="s">
        <v>116</v>
      </c>
      <c r="D36" s="7">
        <v>94012000</v>
      </c>
      <c r="E36" s="7">
        <v>0.18991755935144936</v>
      </c>
      <c r="F36" s="7">
        <v>192520000</v>
      </c>
      <c r="G36" s="7">
        <v>0.65096057581297284</v>
      </c>
      <c r="H36" s="7">
        <v>36024000</v>
      </c>
      <c r="I36" s="7">
        <v>0.17579995947875351</v>
      </c>
      <c r="J36" s="7">
        <v>87848000</v>
      </c>
      <c r="K36" s="7">
        <v>0.18915345414602289</v>
      </c>
      <c r="L36" s="7">
        <v>3812100</v>
      </c>
      <c r="M36" s="7">
        <v>1.7262570328751229E-2</v>
      </c>
      <c r="N36" s="7">
        <v>41132000</v>
      </c>
      <c r="O36" s="7">
        <v>0.14001262782373067</v>
      </c>
      <c r="P36" s="8">
        <f t="shared" si="0"/>
        <v>0.22718445782361341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5">
      <c r="A37" s="9" t="s">
        <v>117</v>
      </c>
      <c r="B37" s="10" t="s">
        <v>118</v>
      </c>
      <c r="C37" s="10" t="s">
        <v>119</v>
      </c>
      <c r="D37" s="10">
        <v>30336000</v>
      </c>
      <c r="E37" s="10">
        <v>6.1283017917771854E-2</v>
      </c>
      <c r="F37" s="10">
        <v>81393000</v>
      </c>
      <c r="G37" s="10">
        <v>0.27521106454989247</v>
      </c>
      <c r="H37" s="10">
        <v>20158000</v>
      </c>
      <c r="I37" s="10">
        <v>9.8372628891092412E-2</v>
      </c>
      <c r="J37" s="10">
        <v>65059000</v>
      </c>
      <c r="K37" s="10">
        <v>0.14008440230040642</v>
      </c>
      <c r="L37" s="10">
        <v>42334000</v>
      </c>
      <c r="M37" s="10">
        <v>0.19170369410491714</v>
      </c>
      <c r="N37" s="10">
        <v>47315000</v>
      </c>
      <c r="O37" s="10">
        <v>0.1610594545725911</v>
      </c>
      <c r="P37" s="8">
        <f t="shared" si="0"/>
        <v>0.15461904372277857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2026-06-22T16:10:51Z</dcterms:created>
  <dcterms:modified xsi:type="dcterms:W3CDTF">2026-06-22T16:13:05Z</dcterms:modified>
</cp:coreProperties>
</file>